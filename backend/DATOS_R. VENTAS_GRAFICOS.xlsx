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.DESKTOP-G2T9765\Documents\V-Smestre\Transformación Digital\"/>
    </mc:Choice>
  </mc:AlternateContent>
  <xr:revisionPtr revIDLastSave="0" documentId="13_ncr:1_{A04E0CA5-C327-4409-B57C-4741E287E69F}" xr6:coauthVersionLast="47" xr6:coauthVersionMax="47" xr10:uidLastSave="{00000000-0000-0000-0000-000000000000}"/>
  <bookViews>
    <workbookView xWindow="-120" yWindow="-120" windowWidth="20730" windowHeight="11040" activeTab="3" xr2:uid="{FACF9EB4-EE9F-4AAB-A140-E5D571F89045}"/>
  </bookViews>
  <sheets>
    <sheet name="Datos " sheetId="1" r:id="rId1"/>
    <sheet name="Gráficos Datos " sheetId="3" r:id="rId2"/>
    <sheet name="Registro de ventas" sheetId="2" r:id="rId3"/>
    <sheet name="Gráficos R. Ventas " sheetId="4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11" i="4" l="1"/>
  <c r="AO10" i="4"/>
  <c r="AO9" i="4"/>
  <c r="AO8" i="4"/>
  <c r="AH11" i="4"/>
  <c r="AH10" i="4"/>
  <c r="AH9" i="4"/>
  <c r="AH8" i="4"/>
  <c r="X13" i="4"/>
  <c r="W13" i="4"/>
  <c r="X12" i="4"/>
  <c r="W12" i="4"/>
  <c r="X11" i="4"/>
  <c r="W11" i="4"/>
  <c r="X10" i="4"/>
  <c r="W10" i="4"/>
  <c r="X9" i="4"/>
  <c r="W9" i="4"/>
  <c r="X8" i="4"/>
  <c r="W8" i="4"/>
  <c r="X7" i="4"/>
  <c r="W7" i="4"/>
  <c r="Q8" i="4"/>
  <c r="P8" i="4"/>
  <c r="Q7" i="4"/>
  <c r="P7" i="4"/>
  <c r="J9" i="4"/>
  <c r="J8" i="4"/>
  <c r="J7" i="4"/>
  <c r="C9" i="4"/>
  <c r="B9" i="4"/>
  <c r="C8" i="4"/>
  <c r="B8" i="4"/>
  <c r="C7" i="4"/>
  <c r="B7" i="4"/>
  <c r="D7" i="4" s="1"/>
  <c r="C6" i="4"/>
  <c r="C10" i="4" s="1"/>
  <c r="B6" i="4"/>
  <c r="AX8" i="3"/>
  <c r="AX7" i="3"/>
  <c r="AR14" i="3"/>
  <c r="AR13" i="3"/>
  <c r="AR12" i="3"/>
  <c r="AR11" i="3"/>
  <c r="AR10" i="3"/>
  <c r="AR9" i="3"/>
  <c r="AR8" i="3"/>
  <c r="AR7" i="3"/>
  <c r="AL10" i="3"/>
  <c r="AL9" i="3"/>
  <c r="AL8" i="3"/>
  <c r="AL7" i="3"/>
  <c r="AE14" i="3"/>
  <c r="AE13" i="3"/>
  <c r="AE12" i="3"/>
  <c r="AE11" i="3"/>
  <c r="AE10" i="3"/>
  <c r="AE9" i="3"/>
  <c r="AE8" i="3"/>
  <c r="AE7" i="3"/>
  <c r="X10" i="3"/>
  <c r="X9" i="3"/>
  <c r="X8" i="3"/>
  <c r="X7" i="3"/>
  <c r="R8" i="3"/>
  <c r="R7" i="3"/>
  <c r="L9" i="3"/>
  <c r="L8" i="3"/>
  <c r="L7" i="3"/>
  <c r="G8" i="3"/>
  <c r="G7" i="3"/>
  <c r="B10" i="3"/>
  <c r="B9" i="3"/>
  <c r="B8" i="3"/>
  <c r="B7" i="3"/>
  <c r="B11" i="3" l="1"/>
  <c r="D9" i="4"/>
  <c r="D8" i="4"/>
  <c r="B10" i="4"/>
  <c r="D6" i="4"/>
  <c r="D10" i="4" l="1"/>
</calcChain>
</file>

<file path=xl/sharedStrings.xml><?xml version="1.0" encoding="utf-8"?>
<sst xmlns="http://schemas.openxmlformats.org/spreadsheetml/2006/main" count="4682" uniqueCount="1097">
  <si>
    <t>Mes</t>
  </si>
  <si>
    <t>N° Mes</t>
  </si>
  <si>
    <t>Fecha</t>
  </si>
  <si>
    <t>Tipo</t>
  </si>
  <si>
    <t>Descripción</t>
  </si>
  <si>
    <t>Categoría</t>
  </si>
  <si>
    <t>Servicio Normalizado</t>
  </si>
  <si>
    <t>Monto (S/)</t>
  </si>
  <si>
    <t>Modo de Pago</t>
  </si>
  <si>
    <t>Enero</t>
  </si>
  <si>
    <t>Ingreso</t>
  </si>
  <si>
    <t>03 Pastillas Meloxicam</t>
  </si>
  <si>
    <t>Producto</t>
  </si>
  <si>
    <t>Efectivo</t>
  </si>
  <si>
    <t>Egreso</t>
  </si>
  <si>
    <t>volutral</t>
  </si>
  <si>
    <t>SARNAFIN</t>
  </si>
  <si>
    <t>02 PARAVETOL Y INYECTABLE</t>
  </si>
  <si>
    <t>Servicio</t>
  </si>
  <si>
    <t>Inyectable</t>
  </si>
  <si>
    <t>1 BIBERON Y LECHE</t>
  </si>
  <si>
    <t>Yape</t>
  </si>
  <si>
    <t>1 LATA RICOCAT Y CHURU</t>
  </si>
  <si>
    <t>CORTE, BAÑO, ROPA Y DESER</t>
  </si>
  <si>
    <t>Baño y Corte</t>
  </si>
  <si>
    <t>Sabado</t>
  </si>
  <si>
    <t>Tratamiento</t>
  </si>
  <si>
    <t>ruda</t>
  </si>
  <si>
    <t>ricocan 1k</t>
  </si>
  <si>
    <t>4 Pate en lata</t>
  </si>
  <si>
    <t>Baño</t>
  </si>
  <si>
    <t>Ubresanol</t>
  </si>
  <si>
    <t>Correa y Sarnafin</t>
  </si>
  <si>
    <t>4 Churus</t>
  </si>
  <si>
    <t>1 Churu</t>
  </si>
  <si>
    <t>Catnip</t>
  </si>
  <si>
    <t>Juguete de Gato</t>
  </si>
  <si>
    <t>Febrero</t>
  </si>
  <si>
    <t>Croquetas</t>
  </si>
  <si>
    <t>Arena</t>
  </si>
  <si>
    <t>Areneas</t>
  </si>
  <si>
    <t>01 Pastilla</t>
  </si>
  <si>
    <t>Rcicocan Posh</t>
  </si>
  <si>
    <t>01 Correa</t>
  </si>
  <si>
    <t>Veneno</t>
  </si>
  <si>
    <t>Biberon</t>
  </si>
  <si>
    <t>Desparatrización</t>
  </si>
  <si>
    <t>01 Linda Gallinita</t>
  </si>
  <si>
    <t>Baño, Tratamiento , Pastillas y Broco</t>
  </si>
  <si>
    <t>Corte y Baño</t>
  </si>
  <si>
    <t>Inyectable Finestrol</t>
  </si>
  <si>
    <t>5 Pastillas Blotina</t>
  </si>
  <si>
    <t>Peranicin</t>
  </si>
  <si>
    <t>Sofia</t>
  </si>
  <si>
    <t>Collar Isobelino</t>
  </si>
  <si>
    <t>02 Cueso</t>
  </si>
  <si>
    <t>Prap. Pato</t>
  </si>
  <si>
    <t>02 Corte y Baño</t>
  </si>
  <si>
    <t>01 Veneno</t>
  </si>
  <si>
    <t>Tratamiento Misha</t>
  </si>
  <si>
    <t>Tratamiento Vra</t>
  </si>
  <si>
    <t>1 Vbresanol</t>
  </si>
  <si>
    <t>Telupar.</t>
  </si>
  <si>
    <t>Sarnafin</t>
  </si>
  <si>
    <t>Baño HUSKY</t>
  </si>
  <si>
    <t>Collar</t>
  </si>
  <si>
    <t>Corte de Uñas e Inyectable</t>
  </si>
  <si>
    <t>Ropa Micky.</t>
  </si>
  <si>
    <t>Chiuru</t>
  </si>
  <si>
    <t>Churu</t>
  </si>
  <si>
    <t>Tratamiento Pato</t>
  </si>
  <si>
    <t>Vacuna y Desp.</t>
  </si>
  <si>
    <t>Vacuna</t>
  </si>
  <si>
    <t>Cueso</t>
  </si>
  <si>
    <t>Inyectable Rabia</t>
  </si>
  <si>
    <t>Corte, Baño y Desp.</t>
  </si>
  <si>
    <t>Tartamiento</t>
  </si>
  <si>
    <t>Arena para gato</t>
  </si>
  <si>
    <t>Arena, arenero y su polita</t>
  </si>
  <si>
    <t>Ricocat</t>
  </si>
  <si>
    <t>Arena y Pate</t>
  </si>
  <si>
    <t>Tratamiento Linda</t>
  </si>
  <si>
    <t>Inyectable Pato</t>
  </si>
  <si>
    <t>Canil</t>
  </si>
  <si>
    <t>2 Toallas</t>
  </si>
  <si>
    <t>Dermicare</t>
  </si>
  <si>
    <t>1 Kg Croqueta</t>
  </si>
  <si>
    <t>Bin Ladino</t>
  </si>
  <si>
    <t>Desparasitación</t>
  </si>
  <si>
    <t>Furaneltor</t>
  </si>
  <si>
    <t>Cirugia Esterelización</t>
  </si>
  <si>
    <t>Cirugía / Esterilización</t>
  </si>
  <si>
    <t>Ubiesanol</t>
  </si>
  <si>
    <t>Meloxivet  yFloxantel</t>
  </si>
  <si>
    <t>Pago de mueble</t>
  </si>
  <si>
    <t>1 Kg Ricocat</t>
  </si>
  <si>
    <t>Carnazas</t>
  </si>
  <si>
    <t>Corte de uñas</t>
  </si>
  <si>
    <t>Otro servicio</t>
  </si>
  <si>
    <t>Carnaza</t>
  </si>
  <si>
    <t>Transportador Mediano</t>
  </si>
  <si>
    <t>3ra Vacuna y 2 ropitas</t>
  </si>
  <si>
    <t>1Kg Ricocan</t>
  </si>
  <si>
    <t>Cirugia  Gato</t>
  </si>
  <si>
    <t>Perrito Blanquito Cancelo</t>
  </si>
  <si>
    <t>Ricocan lata</t>
  </si>
  <si>
    <t>Shampho Linda can</t>
  </si>
  <si>
    <t>Correa de Gato</t>
  </si>
  <si>
    <t>Vacunas Perro</t>
  </si>
  <si>
    <t>Dermicare 6</t>
  </si>
  <si>
    <t>Klerat</t>
  </si>
  <si>
    <t>Paravetol</t>
  </si>
  <si>
    <t>Enrro</t>
  </si>
  <si>
    <t>Vit. Y Desp.</t>
  </si>
  <si>
    <t>Poderroxin</t>
  </si>
  <si>
    <t>Descanso</t>
  </si>
  <si>
    <t>Ricocat 15Kg</t>
  </si>
  <si>
    <t>Vacuna Gato</t>
  </si>
  <si>
    <t>Telopar</t>
  </si>
  <si>
    <t>Poderoxin</t>
  </si>
  <si>
    <t>Comida</t>
  </si>
  <si>
    <t>Correa de gato con mochila</t>
  </si>
  <si>
    <t>Kleral</t>
  </si>
  <si>
    <t>Piata Poon</t>
  </si>
  <si>
    <t>Pooderoxin</t>
  </si>
  <si>
    <t>Almuerzos</t>
  </si>
  <si>
    <t>Vacuna, Desparasitación y Baño</t>
  </si>
  <si>
    <t>Corte, Baño y Pate</t>
  </si>
  <si>
    <t>Vacuna Antirrabica</t>
  </si>
  <si>
    <t>Baño y Desparasitación</t>
  </si>
  <si>
    <t>Corte, Baño y Desparasitación</t>
  </si>
  <si>
    <t>Auza #18</t>
  </si>
  <si>
    <t>Cerme</t>
  </si>
  <si>
    <t>Cirugia</t>
  </si>
  <si>
    <t>Follaje y insec.</t>
  </si>
  <si>
    <t>OVH Gata</t>
  </si>
  <si>
    <t>Desp. Inyectable</t>
  </si>
  <si>
    <t>1Kg Ricocat</t>
  </si>
  <si>
    <t>2 Papel Toalla</t>
  </si>
  <si>
    <t>Arenero</t>
  </si>
  <si>
    <t>Palita</t>
  </si>
  <si>
    <t>1/2 Ricocat</t>
  </si>
  <si>
    <t>Cirugia gato</t>
  </si>
  <si>
    <t>Shampoo</t>
  </si>
  <si>
    <t>Pañales</t>
  </si>
  <si>
    <t>Cirugia OVH</t>
  </si>
  <si>
    <t>Comida 1 Kg</t>
  </si>
  <si>
    <t>Pate</t>
  </si>
  <si>
    <t>Correa Gato</t>
  </si>
  <si>
    <t>Trat. Parvs</t>
  </si>
  <si>
    <t>Correa</t>
  </si>
  <si>
    <t>Ropa Talla 3</t>
  </si>
  <si>
    <t>Eutanasia</t>
  </si>
  <si>
    <t>Tratamiento Porcino</t>
  </si>
  <si>
    <t>Post. Operatorio</t>
  </si>
  <si>
    <t>Lata Ricocat y 1/2 Ricocat</t>
  </si>
  <si>
    <t>Vacuna (Gato)</t>
  </si>
  <si>
    <t>Vacuna (Perro)</t>
  </si>
  <si>
    <t>Desp. Y Vit.</t>
  </si>
  <si>
    <t>Cartilavet</t>
  </si>
  <si>
    <t>Dermicare  6</t>
  </si>
  <si>
    <t>Arenero y Pala</t>
  </si>
  <si>
    <t>Linda Gallinita</t>
  </si>
  <si>
    <t>1 Kg Comida de Pollo</t>
  </si>
  <si>
    <t>Chica Verano</t>
  </si>
  <si>
    <t>Correa y Collar</t>
  </si>
  <si>
    <t>Baño, Corte, Desp. Y Vit</t>
  </si>
  <si>
    <t>Telotar</t>
  </si>
  <si>
    <t>Correa econo.</t>
  </si>
  <si>
    <t>Tratameinto Conejo</t>
  </si>
  <si>
    <t>Tratameinto</t>
  </si>
  <si>
    <t>Baño, Inyectable</t>
  </si>
  <si>
    <t>Baño, Transp, cepillo Terr (Gato)</t>
  </si>
  <si>
    <t>3 ambientadores</t>
  </si>
  <si>
    <t>Lacteo Felino y Biberon</t>
  </si>
  <si>
    <t>Pastillas</t>
  </si>
  <si>
    <t>Broncopet y Jeringa</t>
  </si>
  <si>
    <t>Sra. Vicky</t>
  </si>
  <si>
    <t>Vacunas y Desp.</t>
  </si>
  <si>
    <t>Mixto</t>
  </si>
  <si>
    <t>Diego</t>
  </si>
  <si>
    <t>Vit</t>
  </si>
  <si>
    <t>Marzo</t>
  </si>
  <si>
    <t>Ricocan</t>
  </si>
  <si>
    <t>1/2 Kg Ricocat</t>
  </si>
  <si>
    <t>Operación y pastilla</t>
  </si>
  <si>
    <t>Transportador</t>
  </si>
  <si>
    <t>Operación, Internamiento y Pañal</t>
  </si>
  <si>
    <t>Cuchiillas</t>
  </si>
  <si>
    <t>Optofar</t>
  </si>
  <si>
    <t>Binladino</t>
  </si>
  <si>
    <t>Corte, Baño y Vacunas</t>
  </si>
  <si>
    <t>Telopar y Sarnafin</t>
  </si>
  <si>
    <t>Enolal Plus</t>
  </si>
  <si>
    <t>Terramicin</t>
  </si>
  <si>
    <t>Promazil</t>
  </si>
  <si>
    <t>Cepillo</t>
  </si>
  <si>
    <t>Vacunas</t>
  </si>
  <si>
    <t>Eutanacia</t>
  </si>
  <si>
    <t>Prena</t>
  </si>
  <si>
    <t>Naricera</t>
  </si>
  <si>
    <t>Collar Isabelina T4</t>
  </si>
  <si>
    <t>Pushon Gato</t>
  </si>
  <si>
    <t>Trat. Gato, Perfume y 2 Floxantel</t>
  </si>
  <si>
    <t>Corte, Bañoy Vacuna</t>
  </si>
  <si>
    <t>2 latas Ricocat y 2 Pushon</t>
  </si>
  <si>
    <t>Vit.</t>
  </si>
  <si>
    <t>Peluchin 20ml</t>
  </si>
  <si>
    <t>Klerat pro</t>
  </si>
  <si>
    <t>Linda Gallinita y Tratamiento</t>
  </si>
  <si>
    <t>Omepr, Clina y Cateter</t>
  </si>
  <si>
    <t>Kopa</t>
  </si>
  <si>
    <t>Sogor. M</t>
  </si>
  <si>
    <t>3Kg Ricocan</t>
  </si>
  <si>
    <t>3Kg Thor</t>
  </si>
  <si>
    <t>2 Corte y Baño, Baño y Desp</t>
  </si>
  <si>
    <t>Sra. Gas</t>
  </si>
  <si>
    <t>Tratamiento perro</t>
  </si>
  <si>
    <t>Ricocan Lata</t>
  </si>
  <si>
    <t>Baño, Corte y Desparasitación</t>
  </si>
  <si>
    <t>Cefal y Meloxivet</t>
  </si>
  <si>
    <t>Sra. Udutrol</t>
  </si>
  <si>
    <t>Dermosep</t>
  </si>
  <si>
    <t>caja tubir y AC poligl.</t>
  </si>
  <si>
    <t>1 Kg. Ricocat</t>
  </si>
  <si>
    <t>Comida Pollo</t>
  </si>
  <si>
    <t>Baño especial</t>
  </si>
  <si>
    <t>Almuerzo</t>
  </si>
  <si>
    <t>1/2 Croqueta</t>
  </si>
  <si>
    <t>Prueba</t>
  </si>
  <si>
    <t>Ropa, Corte de Uñas, Baño y Prena</t>
  </si>
  <si>
    <t>Cirugia Adel Blometra</t>
  </si>
  <si>
    <t>Baño y corte</t>
  </si>
  <si>
    <t>Canvo 1 Kg</t>
  </si>
  <si>
    <t>Tratamiento Post.</t>
  </si>
  <si>
    <t>Comida de gato</t>
  </si>
  <si>
    <t>Clamovel</t>
  </si>
  <si>
    <t>Bandeja</t>
  </si>
  <si>
    <t>Pelochin Day</t>
  </si>
  <si>
    <t>Ricocat  0.5 Kg</t>
  </si>
  <si>
    <t>Meloxican y Cefolexina</t>
  </si>
  <si>
    <t>Floxotel y Meloxivet</t>
  </si>
  <si>
    <t>Vacuna gato</t>
  </si>
  <si>
    <t>Ricocan 1 Kg</t>
  </si>
  <si>
    <t>Tratamiento (Sasy)</t>
  </si>
  <si>
    <t>Gastropet pastilla</t>
  </si>
  <si>
    <t>Kefarro</t>
  </si>
  <si>
    <t>Abril</t>
  </si>
  <si>
    <t>Terromicin</t>
  </si>
  <si>
    <t>Croquetas gato</t>
  </si>
  <si>
    <t>Croquetas de perro</t>
  </si>
  <si>
    <t>Saranafin</t>
  </si>
  <si>
    <t>Bactrina</t>
  </si>
  <si>
    <t>Ropas</t>
  </si>
  <si>
    <t>Pernicare</t>
  </si>
  <si>
    <t>Inyección</t>
  </si>
  <si>
    <t>Tratamiento gato</t>
  </si>
  <si>
    <t>Carnasas</t>
  </si>
  <si>
    <t>Peluchin Maximo</t>
  </si>
  <si>
    <t>Cambo</t>
  </si>
  <si>
    <t>Correa y Pechera</t>
  </si>
  <si>
    <t>Pechera</t>
  </si>
  <si>
    <t>Cambo 1kg</t>
  </si>
  <si>
    <t>1/2 kg Ricocan</t>
  </si>
  <si>
    <t>Veneno para rata (liquido)</t>
  </si>
  <si>
    <t>Desparacitación</t>
  </si>
  <si>
    <t>Vacuna y Desparacitación</t>
  </si>
  <si>
    <t>Hemogramo y INY</t>
  </si>
  <si>
    <t>Examen Gallina</t>
  </si>
  <si>
    <t>Cirugia y Vacuna</t>
  </si>
  <si>
    <t>INY Ket</t>
  </si>
  <si>
    <t>Croqueta</t>
  </si>
  <si>
    <t>Corte y Desparasitación</t>
  </si>
  <si>
    <t>Ropa</t>
  </si>
  <si>
    <t>Balo y Corte</t>
  </si>
  <si>
    <t>Llavero</t>
  </si>
  <si>
    <t>Eutanasia y Anticonceptivo</t>
  </si>
  <si>
    <t>Clamovet</t>
  </si>
  <si>
    <t>Corte, Baño, Vacuna y Desparasitación</t>
  </si>
  <si>
    <t>Hemograma</t>
  </si>
  <si>
    <t>Hospedaje: Tratamiento (Vacunas, otros )</t>
  </si>
  <si>
    <t>Sannafin</t>
  </si>
  <si>
    <t>Croquetas Gato</t>
  </si>
  <si>
    <t>Agua oxigenada</t>
  </si>
  <si>
    <t>Cuaso</t>
  </si>
  <si>
    <t>Corte Y Baño</t>
  </si>
  <si>
    <t>Tratamiento y Hemograma</t>
  </si>
  <si>
    <t>Pote</t>
  </si>
  <si>
    <t>Croquetas Cachorro</t>
  </si>
  <si>
    <t>Reune</t>
  </si>
  <si>
    <t>Baños</t>
  </si>
  <si>
    <t>Meloxican</t>
  </si>
  <si>
    <t>Baño, Desparasitación, Vacuna y Ropa</t>
  </si>
  <si>
    <t>Alerflam</t>
  </si>
  <si>
    <t>Croquetas Cat</t>
  </si>
  <si>
    <t>Hemograma y Tratamiento</t>
  </si>
  <si>
    <t>Certificado Medico</t>
  </si>
  <si>
    <t>Meloxicam</t>
  </si>
  <si>
    <t>Dentitey</t>
  </si>
  <si>
    <t>Alerplan</t>
  </si>
  <si>
    <t>Corte de Uñas</t>
  </si>
  <si>
    <t>Follaje y Compin</t>
  </si>
  <si>
    <t>Creso</t>
  </si>
  <si>
    <t>Veneno para ratas</t>
  </si>
  <si>
    <t>Corte, Baño y Shampo</t>
  </si>
  <si>
    <t>Compin</t>
  </si>
  <si>
    <t>Follaje</t>
  </si>
  <si>
    <t>Corte, Baño, Ropa y Desparasitación</t>
  </si>
  <si>
    <t>Leche en polvo y dos Biberones</t>
  </si>
  <si>
    <t>Tratamiento y Pate</t>
  </si>
  <si>
    <t>Ricocan y Churu</t>
  </si>
  <si>
    <t>Luna Vacuna y Desparasitación</t>
  </si>
  <si>
    <t>1/2 Croqueta de Gato</t>
  </si>
  <si>
    <t>1/2 Croqueta de Perro</t>
  </si>
  <si>
    <t>Baño, Corte y Ropa</t>
  </si>
  <si>
    <t>INY y Comida</t>
  </si>
  <si>
    <t>Baño, Corte y Trasp.</t>
  </si>
  <si>
    <t>3ra Vacuna</t>
  </si>
  <si>
    <t>Sernafin</t>
  </si>
  <si>
    <t>Cortes y Baños</t>
  </si>
  <si>
    <t>Croquetas para Cachorro</t>
  </si>
  <si>
    <t>Ropa, Inyectable, Pastilla y Anest.</t>
  </si>
  <si>
    <t>Comida y Ropa</t>
  </si>
  <si>
    <t>Corte, Baño e Inyectable</t>
  </si>
  <si>
    <t xml:space="preserve">REGISTRO DE VENTAS </t>
  </si>
  <si>
    <t>Datos del propietario</t>
  </si>
  <si>
    <t>Datos del paciente</t>
  </si>
  <si>
    <t>Diagnostico presuntivo</t>
  </si>
  <si>
    <t>Diagnostico diferencial</t>
  </si>
  <si>
    <t>Diagnostico final</t>
  </si>
  <si>
    <t>Pruebas de laboratorio</t>
  </si>
  <si>
    <t>Genero</t>
  </si>
  <si>
    <t xml:space="preserve">Nombre </t>
  </si>
  <si>
    <t>Dirección</t>
  </si>
  <si>
    <t>Celular</t>
  </si>
  <si>
    <t>Nombre</t>
  </si>
  <si>
    <t>Especie</t>
  </si>
  <si>
    <t>Raza</t>
  </si>
  <si>
    <t>Sexo</t>
  </si>
  <si>
    <t>Edad</t>
  </si>
  <si>
    <t>Color</t>
  </si>
  <si>
    <t>Peso</t>
  </si>
  <si>
    <t>Esterilizado</t>
  </si>
  <si>
    <t>Medicina preventiva</t>
  </si>
  <si>
    <t>FC</t>
  </si>
  <si>
    <t>FR</t>
  </si>
  <si>
    <t>Temperatura</t>
  </si>
  <si>
    <t>Llenado capilar</t>
  </si>
  <si>
    <t>Pulso</t>
  </si>
  <si>
    <t>Diag, dif 1</t>
  </si>
  <si>
    <t>Diag, dif 2</t>
  </si>
  <si>
    <t>Diag, dif 3</t>
  </si>
  <si>
    <t>Diag, dif 4</t>
  </si>
  <si>
    <t>Diag, dif 5</t>
  </si>
  <si>
    <t>Diag. 1</t>
  </si>
  <si>
    <t>Diag. 2</t>
  </si>
  <si>
    <t>Diag. 3</t>
  </si>
  <si>
    <t>Diag. 4</t>
  </si>
  <si>
    <t>Diag. 5</t>
  </si>
  <si>
    <t>Prueba 1</t>
  </si>
  <si>
    <t>prueba 2</t>
  </si>
  <si>
    <t>Femenino</t>
  </si>
  <si>
    <t>Doris Quispe Rodriguez</t>
  </si>
  <si>
    <t>AV. Simon Bolivar #1993</t>
  </si>
  <si>
    <t>Alva</t>
  </si>
  <si>
    <t>Canino</t>
  </si>
  <si>
    <t>Schnauzer</t>
  </si>
  <si>
    <t>Hembra</t>
  </si>
  <si>
    <t>8 meses</t>
  </si>
  <si>
    <t>Blanco</t>
  </si>
  <si>
    <t>7.8 kg</t>
  </si>
  <si>
    <t>No</t>
  </si>
  <si>
    <t>puppy + cuadruple</t>
  </si>
  <si>
    <t>5 seg.</t>
  </si>
  <si>
    <t>dermatitis atópica causado por</t>
  </si>
  <si>
    <t>Microsporum + sarna sarcóptica</t>
  </si>
  <si>
    <t>Diarrea + gastroenteritis aguda</t>
  </si>
  <si>
    <t>.</t>
  </si>
  <si>
    <t>Hemograma completo</t>
  </si>
  <si>
    <t>raspado cutáneo</t>
  </si>
  <si>
    <t>Enro+ Melox + Antisem + Mextium</t>
  </si>
  <si>
    <t>Masculino</t>
  </si>
  <si>
    <t>Quispe Ticona Jose</t>
  </si>
  <si>
    <t>JR. Pichacani #547</t>
  </si>
  <si>
    <t>Alvin</t>
  </si>
  <si>
    <t>Pequines Albino</t>
  </si>
  <si>
    <t>Macho</t>
  </si>
  <si>
    <t>5 meses</t>
  </si>
  <si>
    <t>3.7 kg</t>
  </si>
  <si>
    <t>39.5</t>
  </si>
  <si>
    <t>parvovirus</t>
  </si>
  <si>
    <t>Enro+ Melox + Antisem + OMG + Calox + Hep.</t>
  </si>
  <si>
    <t>Catachura Aycaya Briza Edith</t>
  </si>
  <si>
    <t>Jr. Benjamin Pacho Vargas #147</t>
  </si>
  <si>
    <t>Artemio</t>
  </si>
  <si>
    <t>S.R.D</t>
  </si>
  <si>
    <t>Amarillo con negro</t>
  </si>
  <si>
    <t>5.660 kg</t>
  </si>
  <si>
    <t>39.8</t>
  </si>
  <si>
    <t>Yllacua Erquinlo Xiomara</t>
  </si>
  <si>
    <t>Jr. Arapa con Jr. Los Andes</t>
  </si>
  <si>
    <t>Alaska</t>
  </si>
  <si>
    <t>Husky siberiano</t>
  </si>
  <si>
    <t>4 meses</t>
  </si>
  <si>
    <t>Negro con blanco</t>
  </si>
  <si>
    <t>8.5 kg</t>
  </si>
  <si>
    <t>Si</t>
  </si>
  <si>
    <t>Gastroenteritis</t>
  </si>
  <si>
    <t>Enro + Melox + Omep + Hepatin</t>
  </si>
  <si>
    <t>Huaracha Jorge</t>
  </si>
  <si>
    <t>Sin dirección</t>
  </si>
  <si>
    <t>Alex</t>
  </si>
  <si>
    <t>Felino</t>
  </si>
  <si>
    <t>1 año y medio</t>
  </si>
  <si>
    <t>4.8 kg</t>
  </si>
  <si>
    <t>38.6</t>
  </si>
  <si>
    <t>Gingivitis</t>
  </si>
  <si>
    <t>Inapetencia</t>
  </si>
  <si>
    <t>Dolor pabellón auricular</t>
  </si>
  <si>
    <t>Calicivirus</t>
  </si>
  <si>
    <t>Enro + Melox + Omep + Hepatin (iny)</t>
  </si>
  <si>
    <t>Reina Soledad</t>
  </si>
  <si>
    <t>AV. Panamericana sur #397</t>
  </si>
  <si>
    <t>Bruck</t>
  </si>
  <si>
    <t>2 años</t>
  </si>
  <si>
    <t>4.7 kg</t>
  </si>
  <si>
    <t>Caceres Romario</t>
  </si>
  <si>
    <t>Urb. Tepro salcedo</t>
  </si>
  <si>
    <t>Bebe</t>
  </si>
  <si>
    <t>4 años</t>
  </si>
  <si>
    <t>Atrigado</t>
  </si>
  <si>
    <t>4.1 kg</t>
  </si>
  <si>
    <t>Inamovilidad</t>
  </si>
  <si>
    <t>Vomitos</t>
  </si>
  <si>
    <t>No come hace 2 dias</t>
  </si>
  <si>
    <t>Enro + Mezop + Mioopet + Sin viray</t>
  </si>
  <si>
    <t>Huanca Quispe Betsy</t>
  </si>
  <si>
    <t>Jr. Salcedo m.i lote 2</t>
  </si>
  <si>
    <t>Bingo</t>
  </si>
  <si>
    <t>3 meses</t>
  </si>
  <si>
    <t>Desconocido</t>
  </si>
  <si>
    <t>1.30 kg</t>
  </si>
  <si>
    <t>Onofre Llanos Jimena Patricia</t>
  </si>
  <si>
    <t>AV. Santa rosa #380</t>
  </si>
  <si>
    <t>Bombom</t>
  </si>
  <si>
    <t>2 meses</t>
  </si>
  <si>
    <t>Blanco y anaranjado</t>
  </si>
  <si>
    <t>7.35 kg</t>
  </si>
  <si>
    <t>Vomito blanco</t>
  </si>
  <si>
    <t>Defeca sangre</t>
  </si>
  <si>
    <t>Enro + Melox + ome + mep</t>
  </si>
  <si>
    <t>Vilca Rosaura</t>
  </si>
  <si>
    <t>Chulluni</t>
  </si>
  <si>
    <t>Boby</t>
  </si>
  <si>
    <t>Caramelo</t>
  </si>
  <si>
    <t>4.2 kg</t>
  </si>
  <si>
    <t>36.9</t>
  </si>
  <si>
    <t>Hipotermia</t>
  </si>
  <si>
    <t>Ictericia</t>
  </si>
  <si>
    <t>Ecografía</t>
  </si>
  <si>
    <t>Enro + Melox + preite + Mivera</t>
  </si>
  <si>
    <t>Tupac Huara Diego</t>
  </si>
  <si>
    <t>Jr. Tarapaca #108</t>
  </si>
  <si>
    <t>Bob</t>
  </si>
  <si>
    <t>Perro peruano</t>
  </si>
  <si>
    <t>Piel</t>
  </si>
  <si>
    <t>2.9 kg</t>
  </si>
  <si>
    <t>Fiebre</t>
  </si>
  <si>
    <t>Traquea inflamada</t>
  </si>
  <si>
    <t xml:space="preserve">Enro + Melox + Hepatin </t>
  </si>
  <si>
    <t>Quispe Velazquez Yordi Beckan</t>
  </si>
  <si>
    <t>Jallihuaya Aziruni</t>
  </si>
  <si>
    <t>Bodervol</t>
  </si>
  <si>
    <t>0.7 kg</t>
  </si>
  <si>
    <t>38.8</t>
  </si>
  <si>
    <t>4 seg.</t>
  </si>
  <si>
    <t>Diarrea</t>
  </si>
  <si>
    <t>No come</t>
  </si>
  <si>
    <t>Desidratado</t>
  </si>
  <si>
    <t>Gastroenteritis hemorragica</t>
  </si>
  <si>
    <t>Parvovirus</t>
  </si>
  <si>
    <t>Ticona Maria</t>
  </si>
  <si>
    <t>AV. Orgullo aymara #259</t>
  </si>
  <si>
    <t>Blanca</t>
  </si>
  <si>
    <t>38.1</t>
  </si>
  <si>
    <t>Diarrea con sangre</t>
  </si>
  <si>
    <t>Fluido terapia</t>
  </si>
  <si>
    <t>Limache Natalia</t>
  </si>
  <si>
    <t>Urb. Aziruvi s-24</t>
  </si>
  <si>
    <t>Bebo</t>
  </si>
  <si>
    <t>20 dias</t>
  </si>
  <si>
    <t>Negro</t>
  </si>
  <si>
    <t>2.075 kg</t>
  </si>
  <si>
    <t>Ticona Nina Cris</t>
  </si>
  <si>
    <t>AV. Miraflores</t>
  </si>
  <si>
    <t>Blanquita</t>
  </si>
  <si>
    <t>2 meses y medio</t>
  </si>
  <si>
    <t>Blanco y crema</t>
  </si>
  <si>
    <t>3.1 kg</t>
  </si>
  <si>
    <t>Pahala Sayda</t>
  </si>
  <si>
    <t>AV. Simon Bolivar #1598</t>
  </si>
  <si>
    <t>Botis</t>
  </si>
  <si>
    <t>2.7 kg</t>
  </si>
  <si>
    <t>196 L.P.M</t>
  </si>
  <si>
    <t>36 R.P.M</t>
  </si>
  <si>
    <t>38.9</t>
  </si>
  <si>
    <t>15 seg.</t>
  </si>
  <si>
    <t>Desidratación</t>
  </si>
  <si>
    <t>Fluido terapia + Gastrogobucin +enro + meloxi + oneprazol</t>
  </si>
  <si>
    <t>Ninca Yuliana</t>
  </si>
  <si>
    <t>AV. Circunvalación #1420</t>
  </si>
  <si>
    <t>Bonita</t>
  </si>
  <si>
    <t>Conejo</t>
  </si>
  <si>
    <t>Blanco y negro</t>
  </si>
  <si>
    <t>0.315 kg</t>
  </si>
  <si>
    <t>Medicamento coctel</t>
  </si>
  <si>
    <t>Rodrguez M. Anais Andely</t>
  </si>
  <si>
    <t>Jr. 2 de mayo</t>
  </si>
  <si>
    <t>Balton</t>
  </si>
  <si>
    <t>5.70 kg</t>
  </si>
  <si>
    <t>37.6</t>
  </si>
  <si>
    <t>Vomita</t>
  </si>
  <si>
    <t>No hace</t>
  </si>
  <si>
    <t>Enro + Melox + Omepradol + Hepatin +Complejo B.</t>
  </si>
  <si>
    <t>Quispe Kevin</t>
  </si>
  <si>
    <t>Jr. Tupac amaru #491</t>
  </si>
  <si>
    <t>Bolita</t>
  </si>
  <si>
    <t>3.0 kg</t>
  </si>
  <si>
    <t>39.9</t>
  </si>
  <si>
    <t>S.R.C</t>
  </si>
  <si>
    <t>Miembro inflamado</t>
  </si>
  <si>
    <t>Enro + Meloxi + Omeprazol + Hepatin</t>
  </si>
  <si>
    <t>Apaza Fernando</t>
  </si>
  <si>
    <t>AV. Huerta Huaraya s/n #387</t>
  </si>
  <si>
    <t>Brandy</t>
  </si>
  <si>
    <t>Pimienta</t>
  </si>
  <si>
    <t>2.2 kg</t>
  </si>
  <si>
    <t>Vacuna cuadruple</t>
  </si>
  <si>
    <t>Yucra Pariapaza Javier</t>
  </si>
  <si>
    <t>Jr. Tarapaca #288</t>
  </si>
  <si>
    <t xml:space="preserve">Blanca </t>
  </si>
  <si>
    <t>Siamés</t>
  </si>
  <si>
    <t>7 meses</t>
  </si>
  <si>
    <t>Café y blanco</t>
  </si>
  <si>
    <t>2.5 kg</t>
  </si>
  <si>
    <t>Vacuna triple felina</t>
  </si>
  <si>
    <t>Condori Colque Kalesy</t>
  </si>
  <si>
    <t>Boch</t>
  </si>
  <si>
    <t>1 mes y medio</t>
  </si>
  <si>
    <t>5.3 kg</t>
  </si>
  <si>
    <t>Vacuna + desparacitación</t>
  </si>
  <si>
    <t>Rojas Barreto Marco Antonio</t>
  </si>
  <si>
    <t>Jr. Tupac amaru #115</t>
  </si>
  <si>
    <t>Benito</t>
  </si>
  <si>
    <t>3 meses y medio</t>
  </si>
  <si>
    <t>4.300 kg</t>
  </si>
  <si>
    <t>Inflamación al ojo</t>
  </si>
  <si>
    <t xml:space="preserve">Enro + Meloxi </t>
  </si>
  <si>
    <t>Turpo Luz</t>
  </si>
  <si>
    <t>Jr. Ilave/Huancane</t>
  </si>
  <si>
    <t>Bonny</t>
  </si>
  <si>
    <t>Chihuahua</t>
  </si>
  <si>
    <t>Mostaza</t>
  </si>
  <si>
    <t>1 seg.</t>
  </si>
  <si>
    <t>no hace 1 día</t>
  </si>
  <si>
    <t>Gastroenteritis infecciosa</t>
  </si>
  <si>
    <t>Huaylla Lara Alexia</t>
  </si>
  <si>
    <t>Jr. Juan Santos #146</t>
  </si>
  <si>
    <t>Chico</t>
  </si>
  <si>
    <t xml:space="preserve">1 año   </t>
  </si>
  <si>
    <t>4.50 kg</t>
  </si>
  <si>
    <t>Castrado</t>
  </si>
  <si>
    <t>208/min</t>
  </si>
  <si>
    <t>60/min</t>
  </si>
  <si>
    <t>Llora</t>
  </si>
  <si>
    <t>Deprimido</t>
  </si>
  <si>
    <t>Debil</t>
  </si>
  <si>
    <t>Inmovilidad</t>
  </si>
  <si>
    <t>Sucapuca Mario</t>
  </si>
  <si>
    <t>Ciudad la humanidad Totorani</t>
  </si>
  <si>
    <t>Chocolate</t>
  </si>
  <si>
    <t>Cocker</t>
  </si>
  <si>
    <t>1 año</t>
  </si>
  <si>
    <t xml:space="preserve">Amarillo   </t>
  </si>
  <si>
    <t>6.5 kg</t>
  </si>
  <si>
    <t>Infección bacteriana</t>
  </si>
  <si>
    <t>Dextroviam (20ml) + Hematofos (1.5 ml) + Ammoplex (1.5 ml) + Meloxicam (0.4 ml) + Midapet (0.5 ml) + Omep ( 1,0 ml) + Hepatin (2.0 ml) + Enro (SC)</t>
  </si>
  <si>
    <t>Choque Sonia</t>
  </si>
  <si>
    <t>Panamericana sur kilometro 8</t>
  </si>
  <si>
    <t>Chester</t>
  </si>
  <si>
    <t>9 meses</t>
  </si>
  <si>
    <t>9.330 kg</t>
  </si>
  <si>
    <t>No come hace 3 dias</t>
  </si>
  <si>
    <t>vomitos</t>
  </si>
  <si>
    <t>Mamani Cristian</t>
  </si>
  <si>
    <t>Manto Chico 01</t>
  </si>
  <si>
    <t>Chuki</t>
  </si>
  <si>
    <t>Amarillo y negro</t>
  </si>
  <si>
    <t>5.7 kg</t>
  </si>
  <si>
    <t>30 R.P. M.</t>
  </si>
  <si>
    <t>38.5</t>
  </si>
  <si>
    <t>Deshidratación</t>
  </si>
  <si>
    <t>Vomito</t>
  </si>
  <si>
    <t>Decaimiento</t>
  </si>
  <si>
    <t>Prueba descarte</t>
  </si>
  <si>
    <t>Test parvovirus</t>
  </si>
  <si>
    <t>Fluido terapia +Gastroglobucin</t>
  </si>
  <si>
    <t>Incachi Lopez Yomara</t>
  </si>
  <si>
    <t>Jr. Raimondi #160</t>
  </si>
  <si>
    <t>Campana</t>
  </si>
  <si>
    <t>Plomo y amarillo</t>
  </si>
  <si>
    <t>2.400 kg</t>
  </si>
  <si>
    <t xml:space="preserve">Condori Ponce Yamila </t>
  </si>
  <si>
    <t>Jr. 26 de julio</t>
  </si>
  <si>
    <t>Coco</t>
  </si>
  <si>
    <t>Amarillo</t>
  </si>
  <si>
    <t>2.1 kg</t>
  </si>
  <si>
    <t>No come hace un dia</t>
  </si>
  <si>
    <t>Condori Aguilar Leydi</t>
  </si>
  <si>
    <t>Jr. Salcedo urb. Los pinos</t>
  </si>
  <si>
    <t>Droshes</t>
  </si>
  <si>
    <t>6 meses</t>
  </si>
  <si>
    <t>Blanco con naranja</t>
  </si>
  <si>
    <t>37.5</t>
  </si>
  <si>
    <t>Diarrea rojiza</t>
  </si>
  <si>
    <t>Falta de apetito</t>
  </si>
  <si>
    <t>Quilca Ramos Leucadia</t>
  </si>
  <si>
    <t>Urb. Aprovisa k-8 salcedo</t>
  </si>
  <si>
    <t>Dana</t>
  </si>
  <si>
    <t>Pug carlino</t>
  </si>
  <si>
    <t>Blanco y café</t>
  </si>
  <si>
    <t>Prurito</t>
  </si>
  <si>
    <t>Dolor cutaneo</t>
  </si>
  <si>
    <t>Secresión auditiva</t>
  </si>
  <si>
    <t>Micosis</t>
  </si>
  <si>
    <t>Sarna sarcoptica</t>
  </si>
  <si>
    <t>Otitis</t>
  </si>
  <si>
    <t>Biopsia cutanea</t>
  </si>
  <si>
    <t xml:space="preserve">Micopet + Dermasan + Dermicare + Ivermectina + Meloxican + Baño delicado </t>
  </si>
  <si>
    <t>Ortega Maron Frank</t>
  </si>
  <si>
    <t>AV. Simon Bolivar m2m LT12</t>
  </si>
  <si>
    <t>Doki</t>
  </si>
  <si>
    <t>1.6 kg</t>
  </si>
  <si>
    <t>1ra vacuna</t>
  </si>
  <si>
    <t>Cama Nina Yuliana</t>
  </si>
  <si>
    <t>Jr.  Chucuito #17</t>
  </si>
  <si>
    <t>Dulce</t>
  </si>
  <si>
    <t>Shitzu</t>
  </si>
  <si>
    <t>Negro y blanco</t>
  </si>
  <si>
    <t>2.5 seg.</t>
  </si>
  <si>
    <t>Convulsiones</t>
  </si>
  <si>
    <t>Dificultad para sostenerse</t>
  </si>
  <si>
    <t>Hepatitis</t>
  </si>
  <si>
    <t>Pancreatitis</t>
  </si>
  <si>
    <t>Gastritits</t>
  </si>
  <si>
    <t>Ecografia</t>
  </si>
  <si>
    <t>Dextro + Hepatin + OME + Hematofos + Amino + Melox + Enro</t>
  </si>
  <si>
    <t>Romero Guapaza Flavia Leslhy</t>
  </si>
  <si>
    <t>Urb. La calle barrio huaynapucara</t>
  </si>
  <si>
    <t xml:space="preserve">Emil </t>
  </si>
  <si>
    <t>Blanco y atrigado</t>
  </si>
  <si>
    <t>Pilco Escarsena Yuber</t>
  </si>
  <si>
    <t>Ciudad la humanidad Totorani lt22</t>
  </si>
  <si>
    <t>Floki</t>
  </si>
  <si>
    <t>5 años</t>
  </si>
  <si>
    <t>Tricolor</t>
  </si>
  <si>
    <t>222 L.P.M</t>
  </si>
  <si>
    <t>60 R.P.M</t>
  </si>
  <si>
    <t>232 PPM</t>
  </si>
  <si>
    <t>Estornudos</t>
  </si>
  <si>
    <t xml:space="preserve"> Pálido</t>
  </si>
  <si>
    <t>traqueobronquitis infecciosa canina</t>
  </si>
  <si>
    <t>Enro + Melox</t>
  </si>
  <si>
    <t>Ramos Sabino</t>
  </si>
  <si>
    <t>Fernando</t>
  </si>
  <si>
    <t>Angora</t>
  </si>
  <si>
    <t>10 meses</t>
  </si>
  <si>
    <t>Plomo y ceniza</t>
  </si>
  <si>
    <t>3.6 kg</t>
  </si>
  <si>
    <t>Esterilización</t>
  </si>
  <si>
    <t>Apaza Mery</t>
  </si>
  <si>
    <t>Alto alianza #784</t>
  </si>
  <si>
    <t>No tiene</t>
  </si>
  <si>
    <t>0.350 kg</t>
  </si>
  <si>
    <t>Barrientos Alca Alicia</t>
  </si>
  <si>
    <t>Comunidad camata km.24</t>
  </si>
  <si>
    <t>Gallina 1</t>
  </si>
  <si>
    <t>Gallus</t>
  </si>
  <si>
    <t>Domesticus</t>
  </si>
  <si>
    <t>Naranja</t>
  </si>
  <si>
    <t>0.980 kg</t>
  </si>
  <si>
    <t>Acidez estomacal</t>
  </si>
  <si>
    <t xml:space="preserve">Vomitos </t>
  </si>
  <si>
    <t>Oxve + Dilco</t>
  </si>
  <si>
    <t>Rodriguez Karina</t>
  </si>
  <si>
    <t>Urb. Chanu chanu ltp3</t>
  </si>
  <si>
    <t>Gasper</t>
  </si>
  <si>
    <t>Persa</t>
  </si>
  <si>
    <t>1 año y 3 meses</t>
  </si>
  <si>
    <t>Blanco y gris</t>
  </si>
  <si>
    <t>3.16 kg</t>
  </si>
  <si>
    <t>Vega Paliza Giuseppe</t>
  </si>
  <si>
    <t>Jr. Alberto cuentas #160</t>
  </si>
  <si>
    <t>Hamilon</t>
  </si>
  <si>
    <t>4.100 kg</t>
  </si>
  <si>
    <t>200 L.P.M</t>
  </si>
  <si>
    <t>37.2</t>
  </si>
  <si>
    <t>3 seg.</t>
  </si>
  <si>
    <t>189 PPM</t>
  </si>
  <si>
    <t>Posible contusión gastrica</t>
  </si>
  <si>
    <t>Enro + Mecaxi + Hepatin + Omeprazol</t>
  </si>
  <si>
    <t>Abila Paredez Maria Julia</t>
  </si>
  <si>
    <t>Pacheco vargas #508</t>
  </si>
  <si>
    <t>Honey</t>
  </si>
  <si>
    <t>Blanco con manchas negras</t>
  </si>
  <si>
    <t>11.170 kg</t>
  </si>
  <si>
    <t>Quispe Apaza Lizandro</t>
  </si>
  <si>
    <t>Jr. Huancayo #488</t>
  </si>
  <si>
    <t>Hamilton</t>
  </si>
  <si>
    <t>American Bull</t>
  </si>
  <si>
    <t>23.9 kg</t>
  </si>
  <si>
    <t>Anahua Ronald Max</t>
  </si>
  <si>
    <t>Jr. Juliaca</t>
  </si>
  <si>
    <t>Juan Pablo</t>
  </si>
  <si>
    <t xml:space="preserve">1 mes   </t>
  </si>
  <si>
    <t>2.20 kg</t>
  </si>
  <si>
    <t>Tapia Marilena</t>
  </si>
  <si>
    <t>AV. Simon bolivar #2658</t>
  </si>
  <si>
    <t>Jade</t>
  </si>
  <si>
    <t>10 kg</t>
  </si>
  <si>
    <t>Sangrado tipico del celo pese a esterilización</t>
  </si>
  <si>
    <t>Vargas Soto Hernan</t>
  </si>
  <si>
    <t>Comisaria chucuito</t>
  </si>
  <si>
    <t>Junior</t>
  </si>
  <si>
    <t>Rubio</t>
  </si>
  <si>
    <t>14,500 kg</t>
  </si>
  <si>
    <t>128 L.P.M</t>
  </si>
  <si>
    <t>28 R.P.M</t>
  </si>
  <si>
    <t>39.1</t>
  </si>
  <si>
    <t xml:space="preserve">Lagañas </t>
  </si>
  <si>
    <t>Presencia de mucosa nasal excesiva</t>
  </si>
  <si>
    <t>Hepatin + Enromic + Meloxisan</t>
  </si>
  <si>
    <t>Panca Ernesto</t>
  </si>
  <si>
    <t>Jack</t>
  </si>
  <si>
    <t>Mastin español</t>
  </si>
  <si>
    <t>Amarillo y blanco</t>
  </si>
  <si>
    <t>3.4 kg</t>
  </si>
  <si>
    <t>2 seg.</t>
  </si>
  <si>
    <t>Prueba de descarte</t>
  </si>
  <si>
    <t xml:space="preserve">Fluido terapia + Gastroglobucin + poli + dextovitam + hematofos + aminoplex + hepatin + omeprazol + meloxicam </t>
  </si>
  <si>
    <t>Rodriguez Yanet</t>
  </si>
  <si>
    <t>AV. Progreso #454</t>
  </si>
  <si>
    <t>Kaito</t>
  </si>
  <si>
    <t>3.2 kg</t>
  </si>
  <si>
    <t>Coyo Anco Cesar Julio</t>
  </si>
  <si>
    <t>Jr. Catarindo #166</t>
  </si>
  <si>
    <t>Kity</t>
  </si>
  <si>
    <t>1 mes</t>
  </si>
  <si>
    <t>3.35 kg</t>
  </si>
  <si>
    <t>Tos</t>
  </si>
  <si>
    <t xml:space="preserve"> Moco</t>
  </si>
  <si>
    <t>Traqueobronquitis</t>
  </si>
  <si>
    <t>Melaxivet + Hepatin opcional</t>
  </si>
  <si>
    <t xml:space="preserve">Quilca Andy </t>
  </si>
  <si>
    <t>Jr. Golgota #180</t>
  </si>
  <si>
    <t>Kaiser</t>
  </si>
  <si>
    <t>8.2 kg</t>
  </si>
  <si>
    <t>Decaido</t>
  </si>
  <si>
    <t>Lagañas</t>
  </si>
  <si>
    <t>Ojo cereza</t>
  </si>
  <si>
    <t>Infección respiratoria</t>
  </si>
  <si>
    <t>enuclación de la glandula lagrimal</t>
  </si>
  <si>
    <t>Enro + Melox + Hepatin + Complejo o</t>
  </si>
  <si>
    <t>Ramos Calsina Zarai</t>
  </si>
  <si>
    <t>Laraqueri</t>
  </si>
  <si>
    <t>Karla</t>
  </si>
  <si>
    <t>Blanco y amarillo</t>
  </si>
  <si>
    <t>2.4 kg</t>
  </si>
  <si>
    <t>Esteba Ticona Luz</t>
  </si>
  <si>
    <t>Jr. 1 de mayo #443</t>
  </si>
  <si>
    <t xml:space="preserve">Kika </t>
  </si>
  <si>
    <t>7.3 kg</t>
  </si>
  <si>
    <t xml:space="preserve">2da vacuna </t>
  </si>
  <si>
    <t>Urbina Fredy</t>
  </si>
  <si>
    <t>Jr. Acora #278</t>
  </si>
  <si>
    <t>Leidi</t>
  </si>
  <si>
    <t>Marrón</t>
  </si>
  <si>
    <t>11.0 kg</t>
  </si>
  <si>
    <t>Rabia</t>
  </si>
  <si>
    <t>Traqueobronquitis infecciosa</t>
  </si>
  <si>
    <t>Enro (1ml) + meloxi (0.5ml) + Ome (1ml) + hepatin (1ml)</t>
  </si>
  <si>
    <t>Flores Mamani Amelia</t>
  </si>
  <si>
    <t>Asoc. Francisco Palma m2 x lt11</t>
  </si>
  <si>
    <t>Lucy</t>
  </si>
  <si>
    <t>1.00 kg</t>
  </si>
  <si>
    <t>Gastroenteritis bacteriana</t>
  </si>
  <si>
    <t>Aguirre Blanca</t>
  </si>
  <si>
    <t>Jr. Lampa #473</t>
  </si>
  <si>
    <t>Luna duqueza</t>
  </si>
  <si>
    <t>7.7 kg</t>
  </si>
  <si>
    <t>39.3</t>
  </si>
  <si>
    <t>Rayos x</t>
  </si>
  <si>
    <t>Salluca Rivaldo Cristian</t>
  </si>
  <si>
    <t xml:space="preserve">Jr. Juli   </t>
  </si>
  <si>
    <t xml:space="preserve">Luna    </t>
  </si>
  <si>
    <t>9.6 kg</t>
  </si>
  <si>
    <t>Orina de sangre desde ayer</t>
  </si>
  <si>
    <t>Proestro dia 3</t>
  </si>
  <si>
    <t>Citología vaginal</t>
  </si>
  <si>
    <t>Clindave</t>
  </si>
  <si>
    <t>Apaza Daniel</t>
  </si>
  <si>
    <t>AV. 4 de noviembre #739</t>
  </si>
  <si>
    <t>Luka</t>
  </si>
  <si>
    <t>3.8 kg</t>
  </si>
  <si>
    <t>Palido</t>
  </si>
  <si>
    <t>Almoadillas duras</t>
  </si>
  <si>
    <t>Duerme mal</t>
  </si>
  <si>
    <t>Desgarrado</t>
  </si>
  <si>
    <t>Zapana Quispe Mishel</t>
  </si>
  <si>
    <t>Jr. Choquehuanca #1450</t>
  </si>
  <si>
    <t>Linda</t>
  </si>
  <si>
    <t>Mamani Antonio Carlos Devick</t>
  </si>
  <si>
    <t>Salcedo gardenias mz19 y lt 6</t>
  </si>
  <si>
    <t>38.2</t>
  </si>
  <si>
    <t>Come poco</t>
  </si>
  <si>
    <t>Deshidratado</t>
  </si>
  <si>
    <t>Paracitismo</t>
  </si>
  <si>
    <t>Infección</t>
  </si>
  <si>
    <t>Gastroglobucin + fluido terapia + antobioticos</t>
  </si>
  <si>
    <t>Pacco Lidia</t>
  </si>
  <si>
    <t>Jr. Lagunillas #462 chejoña</t>
  </si>
  <si>
    <t>Lulu</t>
  </si>
  <si>
    <t>Beige</t>
  </si>
  <si>
    <t>Andres Marco</t>
  </si>
  <si>
    <t>Jr. Juli #526</t>
  </si>
  <si>
    <t>Lancelot</t>
  </si>
  <si>
    <t>Crema y negro</t>
  </si>
  <si>
    <t>Manzana Asqui Meredith</t>
  </si>
  <si>
    <t>Jr. Toribio Pacheco #414</t>
  </si>
  <si>
    <t>Lugo</t>
  </si>
  <si>
    <t>Plomo</t>
  </si>
  <si>
    <t>Gastroglobucin + fluido terapia</t>
  </si>
  <si>
    <t>Vilca Franchesca</t>
  </si>
  <si>
    <t>Jr. Juliaca #801</t>
  </si>
  <si>
    <t>Luna</t>
  </si>
  <si>
    <t>Sharpei</t>
  </si>
  <si>
    <t>12.8 kg</t>
  </si>
  <si>
    <t>Ojo blanco</t>
  </si>
  <si>
    <t>Escleritis Unilateral</t>
  </si>
  <si>
    <t>Oftalmines + melox + enro</t>
  </si>
  <si>
    <t>Chambi Mario</t>
  </si>
  <si>
    <t>Jr. Tupac amaru #336</t>
  </si>
  <si>
    <t>Loki</t>
  </si>
  <si>
    <t>Dolor</t>
  </si>
  <si>
    <t>Herida</t>
  </si>
  <si>
    <t>Herida lateral</t>
  </si>
  <si>
    <t>Abseso cutaneo</t>
  </si>
  <si>
    <t>Sutura de reconstrucción cutanea lateral rostral izquierdo + internamiento</t>
  </si>
  <si>
    <t>Mamani Pillaca Jasmin</t>
  </si>
  <si>
    <t>Alto Llavini</t>
  </si>
  <si>
    <t>Leo</t>
  </si>
  <si>
    <t>6 años y medio</t>
  </si>
  <si>
    <t>Vera Cornejo Juliana</t>
  </si>
  <si>
    <t>Urb. Chanu chanu 1ra etapa m2 o lt 11</t>
  </si>
  <si>
    <t>3 años</t>
  </si>
  <si>
    <t>6.0 kg</t>
  </si>
  <si>
    <t>Charca Balcona Judith</t>
  </si>
  <si>
    <t>AV. Siderañ m2c lt1</t>
  </si>
  <si>
    <t>Macki</t>
  </si>
  <si>
    <t>Pastor aleman</t>
  </si>
  <si>
    <t>Negro y marrón</t>
  </si>
  <si>
    <t>Cuno Aroquipa Demetrio</t>
  </si>
  <si>
    <t>Jr. Vela vela m2 b lt11</t>
  </si>
  <si>
    <t>Mariano</t>
  </si>
  <si>
    <t>14.4 kg</t>
  </si>
  <si>
    <t>Huarachi Jose</t>
  </si>
  <si>
    <t>AV. Simon bolivar #1365</t>
  </si>
  <si>
    <t>Max</t>
  </si>
  <si>
    <t>5.2 kg</t>
  </si>
  <si>
    <t>colecistitis</t>
  </si>
  <si>
    <t>Meloxi + omeprazol + enro</t>
  </si>
  <si>
    <t>Pacompia Vilca Deysi</t>
  </si>
  <si>
    <t>AV. Aviación psj. San vicente #191</t>
  </si>
  <si>
    <t>Memo</t>
  </si>
  <si>
    <t>Blanco y plomo</t>
  </si>
  <si>
    <t>3.5 kg</t>
  </si>
  <si>
    <t>Inflamación</t>
  </si>
  <si>
    <t>Inmovil</t>
  </si>
  <si>
    <t>Examen de sangre</t>
  </si>
  <si>
    <t>Enro + melox + hepatin</t>
  </si>
  <si>
    <t>Quispe Mamani Aurora</t>
  </si>
  <si>
    <t>Distrito de chucuito</t>
  </si>
  <si>
    <t>Maximo</t>
  </si>
  <si>
    <t>Edu. Reiner</t>
  </si>
  <si>
    <t>Ricardo palma</t>
  </si>
  <si>
    <t xml:space="preserve">Crema </t>
  </si>
  <si>
    <t>39.4</t>
  </si>
  <si>
    <t>Herida en el prepucio en el plano medio ventral</t>
  </si>
  <si>
    <t>Cirujia de construcción + orquiectomía</t>
  </si>
  <si>
    <t>Ordoñez Quispe Isabel Maria</t>
  </si>
  <si>
    <t>AV. Circunvalación #1648</t>
  </si>
  <si>
    <t>Miskha</t>
  </si>
  <si>
    <t xml:space="preserve">Husky   </t>
  </si>
  <si>
    <t>11 meses</t>
  </si>
  <si>
    <t>40.5</t>
  </si>
  <si>
    <t>Tose seco</t>
  </si>
  <si>
    <t>Fiebre 40 grados</t>
  </si>
  <si>
    <t>traqueobronquitis</t>
  </si>
  <si>
    <t>Infecciones</t>
  </si>
  <si>
    <t>Inferacción + broncopel</t>
  </si>
  <si>
    <t>Copa Yolanda</t>
  </si>
  <si>
    <t>Jr. Pichacani #114</t>
  </si>
  <si>
    <t>Nick</t>
  </si>
  <si>
    <t>Rayos x + anti biograma</t>
  </si>
  <si>
    <t>Anti viral + antibioticos + protector + hep. + pro. Gastri. + anti fel + anti fire</t>
  </si>
  <si>
    <t>Pari Maribel</t>
  </si>
  <si>
    <t>Morfi</t>
  </si>
  <si>
    <t>3.100 kg</t>
  </si>
  <si>
    <t>41.1</t>
  </si>
  <si>
    <t xml:space="preserve">Fiebre </t>
  </si>
  <si>
    <t>Inapetencia de 2 dias</t>
  </si>
  <si>
    <t>panleucopenia felina</t>
  </si>
  <si>
    <t>Hepatin eu.</t>
  </si>
  <si>
    <t>Ortega M. Miguel</t>
  </si>
  <si>
    <t>Urb. Aprovisa IIMZ b2-l2</t>
  </si>
  <si>
    <t>Mango</t>
  </si>
  <si>
    <t>Anaranjado</t>
  </si>
  <si>
    <t>4.200 kg</t>
  </si>
  <si>
    <t xml:space="preserve">Cojea </t>
  </si>
  <si>
    <t>Herida en su pata</t>
  </si>
  <si>
    <t>Quispe Mamani Yobana Monica</t>
  </si>
  <si>
    <t>Jr. San jeronimo 130 interior 6</t>
  </si>
  <si>
    <t>Michi</t>
  </si>
  <si>
    <t>3.355 kg</t>
  </si>
  <si>
    <t>Pancita hinchada</t>
  </si>
  <si>
    <t>Chata Kathy</t>
  </si>
  <si>
    <t>AV. Simon Bolivar #209</t>
  </si>
  <si>
    <t>Masha</t>
  </si>
  <si>
    <t xml:space="preserve">Café   </t>
  </si>
  <si>
    <t>8.300 kg</t>
  </si>
  <si>
    <t>Inflamación general</t>
  </si>
  <si>
    <t>Enro + meloxi + hepatin + omeprazol</t>
  </si>
  <si>
    <t>Cahui Marleni</t>
  </si>
  <si>
    <t>Jr. San Rafael #208</t>
  </si>
  <si>
    <t>Mamani Evangelina</t>
  </si>
  <si>
    <t>Jr. 1 de mayo #640 interior 2</t>
  </si>
  <si>
    <t>Misha</t>
  </si>
  <si>
    <t>Secreción nasal</t>
  </si>
  <si>
    <t>Insuficiencia respiratoria</t>
  </si>
  <si>
    <t>Mamani Atencio Paulina</t>
  </si>
  <si>
    <t>Jr. 5 de septiembre</t>
  </si>
  <si>
    <t>Naru</t>
  </si>
  <si>
    <t>Ramos Zandra</t>
  </si>
  <si>
    <t>Jr. Leoncio Prado #1408</t>
  </si>
  <si>
    <t>Nala</t>
  </si>
  <si>
    <t>38.7</t>
  </si>
  <si>
    <t>Vacuna 1 el 24 de enero y 2da vacuna el 9 de febrero 2025</t>
  </si>
  <si>
    <t>Anchapuri Canagua Karina Luz</t>
  </si>
  <si>
    <t>AV. Primavera #133</t>
  </si>
  <si>
    <t>Nena</t>
  </si>
  <si>
    <t>Daño del tren posterior</t>
  </si>
  <si>
    <t>Daño hepatico</t>
  </si>
  <si>
    <t>Fluidoterapia (omeprazol, dextrovitam, meloxi, heaptin, aminoplex)</t>
  </si>
  <si>
    <t>Balcona Eliseo</t>
  </si>
  <si>
    <t>Jr. Ichu</t>
  </si>
  <si>
    <t>Nira</t>
  </si>
  <si>
    <t>Bóxer</t>
  </si>
  <si>
    <t>9 años</t>
  </si>
  <si>
    <t>Gripe</t>
  </si>
  <si>
    <t>Enro + meloxi +omeprazol + hepatin</t>
  </si>
  <si>
    <t>Mamani Yesi</t>
  </si>
  <si>
    <t>Jr. 3 de octubre #351</t>
  </si>
  <si>
    <t>Oto</t>
  </si>
  <si>
    <t>Basset hound</t>
  </si>
  <si>
    <t>33.7</t>
  </si>
  <si>
    <t>Gutierrez Yuri</t>
  </si>
  <si>
    <t>Pancho</t>
  </si>
  <si>
    <t>Sangre en el miembro reprod.</t>
  </si>
  <si>
    <t>Enrojecimiento abdominal</t>
  </si>
  <si>
    <t>R. Tunica peniana</t>
  </si>
  <si>
    <t>Inf. Hemorragica</t>
  </si>
  <si>
    <t>Pen-strep-dex (antinem)</t>
  </si>
  <si>
    <t>Goméz Alex</t>
  </si>
  <si>
    <t>AV. Simon bolivar #274</t>
  </si>
  <si>
    <t>Pety</t>
  </si>
  <si>
    <t>14 años</t>
  </si>
  <si>
    <t>7.100 kg</t>
  </si>
  <si>
    <t>Herida abdominal</t>
  </si>
  <si>
    <t>Tumor mamario</t>
  </si>
  <si>
    <t>Fluidoterapia + enro</t>
  </si>
  <si>
    <t>Salamanca Choque Doris</t>
  </si>
  <si>
    <t>Jr. Bartolome herrera #103</t>
  </si>
  <si>
    <t>Preciosa</t>
  </si>
  <si>
    <t>Secreción nasal verdosa</t>
  </si>
  <si>
    <t>Dificultad para maullar</t>
  </si>
  <si>
    <t>Ronco</t>
  </si>
  <si>
    <t>Infección viral respiratoria felina</t>
  </si>
  <si>
    <t>Antibioticos + meloxi + jarabe</t>
  </si>
  <si>
    <t>Sebastian Juan</t>
  </si>
  <si>
    <t>Jr. Ricardo Palma</t>
  </si>
  <si>
    <t>Perla</t>
  </si>
  <si>
    <t>Negro y anaranjado</t>
  </si>
  <si>
    <t>12 kg</t>
  </si>
  <si>
    <t>Quispe Katerin</t>
  </si>
  <si>
    <t>Barrio santa rosa /jr. Alejandro peralta #336</t>
  </si>
  <si>
    <t>Pequeña</t>
  </si>
  <si>
    <t>Inmovilidad del miembro bilateral posterior</t>
  </si>
  <si>
    <t>Enro + melox + omeprazol</t>
  </si>
  <si>
    <t>Pari Velasquez Marta</t>
  </si>
  <si>
    <t>Jr. Jose alvez #292</t>
  </si>
  <si>
    <t>Princesa</t>
  </si>
  <si>
    <t>1.5 kg</t>
  </si>
  <si>
    <t>No hace popo</t>
  </si>
  <si>
    <t>Fluidoterapia + Antib. + Hepatin</t>
  </si>
  <si>
    <t>Juli Omar</t>
  </si>
  <si>
    <t>Jr. Palomani #132</t>
  </si>
  <si>
    <t xml:space="preserve">No come  </t>
  </si>
  <si>
    <t xml:space="preserve">Vomito  </t>
  </si>
  <si>
    <t>Solo toma agua</t>
  </si>
  <si>
    <t>Flores Medina Alexis</t>
  </si>
  <si>
    <t>Psj. Los ledros #190</t>
  </si>
  <si>
    <t>Vanelope</t>
  </si>
  <si>
    <t>7.5 kg</t>
  </si>
  <si>
    <t>Maquera Miriana</t>
  </si>
  <si>
    <t>1ro de mayo #473</t>
  </si>
  <si>
    <t>Pocho</t>
  </si>
  <si>
    <t>2.6 kg</t>
  </si>
  <si>
    <t>Achata Perez Tatiana</t>
  </si>
  <si>
    <t>Jr. Miguel iglesias #213</t>
  </si>
  <si>
    <t>4.500 kg</t>
  </si>
  <si>
    <t>No camina bien</t>
  </si>
  <si>
    <t>Tono rojizo en su popo</t>
  </si>
  <si>
    <t>Manrique Cinthia</t>
  </si>
  <si>
    <t>Jr. Colombia #190</t>
  </si>
  <si>
    <t>Pol</t>
  </si>
  <si>
    <t>7.0 kg</t>
  </si>
  <si>
    <t>si</t>
  </si>
  <si>
    <t>Vacuna 1 y 2</t>
  </si>
  <si>
    <t>Pari Ruelas Mavila</t>
  </si>
  <si>
    <t>Jr. Huancayo #374</t>
  </si>
  <si>
    <t>Pelusa</t>
  </si>
  <si>
    <t xml:space="preserve">Enro + meloxi + hepatin </t>
  </si>
  <si>
    <t>Carreon Yaquelin</t>
  </si>
  <si>
    <t>Jr. Atuncolla</t>
  </si>
  <si>
    <t xml:space="preserve">6 años   </t>
  </si>
  <si>
    <t>Crema</t>
  </si>
  <si>
    <t>7.925 kg</t>
  </si>
  <si>
    <t>Quispe David</t>
  </si>
  <si>
    <t>Psj. Banchero rossi #169</t>
  </si>
  <si>
    <t>Rousse</t>
  </si>
  <si>
    <t xml:space="preserve">Husky </t>
  </si>
  <si>
    <t>No come 4 dias</t>
  </si>
  <si>
    <t>vomitos y diarrea</t>
  </si>
  <si>
    <t>Fluidoterapia + gastroglobucin</t>
  </si>
  <si>
    <t>Orihuela Nora</t>
  </si>
  <si>
    <t xml:space="preserve">Jr. Los andes leoncio prado </t>
  </si>
  <si>
    <t>Rocky</t>
  </si>
  <si>
    <t>Negro y amarillo</t>
  </si>
  <si>
    <t>Flema</t>
  </si>
  <si>
    <t xml:space="preserve">traqueobronquitis </t>
  </si>
  <si>
    <t>Enro + melox + Gep. + Broncopet</t>
  </si>
  <si>
    <t>DATOS</t>
  </si>
  <si>
    <t>1. Distribución por Especie</t>
  </si>
  <si>
    <t>N° Pacientes</t>
  </si>
  <si>
    <t>Total</t>
  </si>
  <si>
    <t>2. Distribución por Sexo</t>
  </si>
  <si>
    <t>3. Estado de Esterilización</t>
  </si>
  <si>
    <t>Estado</t>
  </si>
  <si>
    <t>Sí</t>
  </si>
  <si>
    <t>4. Medicina Preventiva Aplicada</t>
  </si>
  <si>
    <t>5. Distribución por Categoría de Edad</t>
  </si>
  <si>
    <t>Cachorro/Cría (0-6 meses)</t>
  </si>
  <si>
    <t>Joven (6-12 meses)</t>
  </si>
  <si>
    <t>Adulto (1-7 años)</t>
  </si>
  <si>
    <t>Senior (7+ años)</t>
  </si>
  <si>
    <t>6. Top Razas — Caninos</t>
  </si>
  <si>
    <t>7. Razas — Felinos</t>
  </si>
  <si>
    <t>8. Diagnósticos Finales más Frecuentes</t>
  </si>
  <si>
    <t>Diagnóstico</t>
  </si>
  <si>
    <t>N° Casos</t>
  </si>
  <si>
    <t>Traqueobronquitis infecciosa canina</t>
  </si>
  <si>
    <t>9. Peso Promedio por Especie (kg)</t>
  </si>
  <si>
    <t>Peso Prom. (kg)</t>
  </si>
  <si>
    <t>RESUMEN ESTADÍSTICO — REGISTRO DE VENTAS</t>
  </si>
  <si>
    <t>1. Ingresos y Egresos por Mes</t>
  </si>
  <si>
    <t>Ingresos (S/)</t>
  </si>
  <si>
    <t>Egresos (S/)</t>
  </si>
  <si>
    <t>Utilidad (S/)</t>
  </si>
  <si>
    <t>2. Ingresos por Modo de Pago</t>
  </si>
  <si>
    <t>3. Ingresos por Categoría</t>
  </si>
  <si>
    <t>N° Ventas</t>
  </si>
  <si>
    <t>4. Top Servicios por Ingreso Total</t>
  </si>
  <si>
    <t>5. Resumen de Egresos por Mes</t>
  </si>
  <si>
    <t>6. Ticket Promedio de Venta por Mes</t>
  </si>
  <si>
    <t>Ticket Prom. (S/)</t>
  </si>
  <si>
    <t>*</t>
  </si>
  <si>
    <t>RESUMEN ESTADÍSTICO — HISTORIAL CLÍNICO DE PACIENTES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</si>
</sst>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S/ 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4"/>
      <color theme="1"/>
      <name val="ADLaM Display"/>
    </font>
    <font>
      <b/>
      <sz val="12"/>
      <color rgb="FF1F4E2C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F4E2C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8"/>
      <color theme="1"/>
      <name val="ADLaM Display"/>
    </font>
    <font>
      <sz val="22"/>
      <color theme="1"/>
      <name val="ADLaM Display"/>
    </font>
  </fonts>
  <fills count="17">
    <fill>
      <patternFill patternType="none"/>
    </fill>
    <fill>
      <patternFill patternType="gray125"/>
    </fill>
    <fill>
      <patternFill patternType="solid">
        <fgColor rgb="FF2F5433"/>
        <bgColor rgb="FF1F4E2C"/>
      </patternFill>
    </fill>
    <fill>
      <patternFill patternType="solid">
        <fgColor rgb="FF66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F5664"/>
        <bgColor indexed="64"/>
      </patternFill>
    </fill>
    <fill>
      <patternFill patternType="solid">
        <fgColor rgb="FF8FCACA"/>
        <bgColor indexed="64"/>
      </patternFill>
    </fill>
    <fill>
      <patternFill patternType="solid">
        <fgColor rgb="FFBC5377"/>
        <bgColor indexed="64"/>
      </patternFill>
    </fill>
    <fill>
      <patternFill patternType="solid">
        <fgColor rgb="FFF3B0C3"/>
        <bgColor indexed="64"/>
      </patternFill>
    </fill>
    <fill>
      <patternFill patternType="solid">
        <fgColor rgb="FFE8F0E3"/>
        <bgColor rgb="FFF2F2F2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medium">
        <color rgb="FF003300"/>
      </top>
      <bottom style="medium">
        <color rgb="FF003300"/>
      </bottom>
      <diagonal/>
    </border>
    <border>
      <left style="thin">
        <color indexed="64"/>
      </left>
      <right style="medium">
        <color rgb="FF003300"/>
      </right>
      <top style="medium">
        <color rgb="FF003300"/>
      </top>
      <bottom style="medium">
        <color rgb="FF003300"/>
      </bottom>
      <diagonal/>
    </border>
    <border>
      <left style="thin">
        <color rgb="FF003300"/>
      </left>
      <right style="thin">
        <color indexed="64"/>
      </right>
      <top style="medium">
        <color rgb="FF003300"/>
      </top>
      <bottom style="medium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2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1" fillId="11" borderId="2" xfId="0" applyFont="1" applyFill="1" applyBorder="1" applyAlignment="1">
      <alignment horizontal="center"/>
    </xf>
    <xf numFmtId="0" fontId="2" fillId="12" borderId="2" xfId="0" applyFont="1" applyFill="1" applyBorder="1"/>
    <xf numFmtId="0" fontId="1" fillId="13" borderId="2" xfId="0" applyFont="1" applyFill="1" applyBorder="1" applyAlignment="1">
      <alignment horizontal="center"/>
    </xf>
    <xf numFmtId="0" fontId="2" fillId="14" borderId="2" xfId="0" applyFont="1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15" borderId="1" xfId="0" applyFont="1" applyFill="1" applyBorder="1"/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0" xfId="0" applyFont="1"/>
    <xf numFmtId="0" fontId="3" fillId="2" borderId="1" xfId="0" applyFont="1" applyFill="1" applyBorder="1" applyAlignment="1">
      <alignment horizontal="center"/>
    </xf>
    <xf numFmtId="0" fontId="10" fillId="15" borderId="1" xfId="0" applyFont="1" applyFill="1" applyBorder="1"/>
    <xf numFmtId="165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165" fontId="11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0" fillId="16" borderId="0" xfId="0" applyFill="1"/>
    <xf numFmtId="0" fontId="0" fillId="0" borderId="0" xfId="0" applyFill="1"/>
    <xf numFmtId="0" fontId="1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Border="1"/>
    <xf numFmtId="0" fontId="3" fillId="2" borderId="7" xfId="0" applyFont="1" applyFill="1" applyBorder="1" applyAlignment="1">
      <alignment horizontal="center" vertical="center"/>
    </xf>
    <xf numFmtId="0" fontId="0" fillId="0" borderId="7" xfId="0" applyBorder="1"/>
    <xf numFmtId="164" fontId="0" fillId="0" borderId="7" xfId="0" applyNumberFormat="1" applyBorder="1"/>
    <xf numFmtId="165" fontId="0" fillId="0" borderId="7" xfId="0" applyNumberFormat="1" applyBorder="1"/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  <color rgb="FF8FCACA"/>
      <color rgb="FFCFBAF0"/>
      <color rgb="FFF3B0C3"/>
      <color rgb="FFBC5377"/>
      <color rgb="FF0F56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Canino</c:v>
              </c:pt>
              <c:pt idx="1">
                <c:v>Conejo</c:v>
              </c:pt>
              <c:pt idx="2">
                <c:v>Felino</c:v>
              </c:pt>
              <c:pt idx="3">
                <c:v>Gallus</c:v>
              </c:pt>
            </c:strLit>
          </c:cat>
          <c:val>
            <c:numLit>
              <c:formatCode>General</c:formatCode>
              <c:ptCount val="4"/>
              <c:pt idx="0">
                <c:v>69</c:v>
              </c:pt>
              <c:pt idx="1">
                <c:v>1</c:v>
              </c:pt>
              <c:pt idx="2">
                <c:v>29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6BE-4554-9EC0-FE4E11FED7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0148272"/>
        <c:axId val="1701129648"/>
      </c:barChart>
      <c:catAx>
        <c:axId val="15001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01129648"/>
        <c:crosses val="autoZero"/>
        <c:auto val="1"/>
        <c:lblAlgn val="ctr"/>
        <c:lblOffset val="100"/>
        <c:noMultiLvlLbl val="0"/>
      </c:catAx>
      <c:valAx>
        <c:axId val="17011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0014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Cuenta de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1A-4B5B-964B-9B7AB340C0E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1A-4B5B-964B-9B7AB340C0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Hembra</c:v>
              </c:pt>
              <c:pt idx="1">
                <c:v>Macho</c:v>
              </c:pt>
            </c:strLit>
          </c:cat>
          <c:val>
            <c:numLit>
              <c:formatCode>General</c:formatCode>
              <c:ptCount val="2"/>
              <c:pt idx="0">
                <c:v>44</c:v>
              </c:pt>
              <c:pt idx="1">
                <c:v>56</c:v>
              </c:pt>
            </c:numLit>
          </c:val>
          <c:extLst>
            <c:ext xmlns:c16="http://schemas.microsoft.com/office/drawing/2014/chart" uri="{C3380CC4-5D6E-409C-BE32-E72D297353CC}">
              <c16:uniqueId val="{00000004-851A-4B5B-964B-9B7AB340C0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Esterilizado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DB-4932-8640-65A54D9E05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DB-4932-8640-65A54D9E05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DB-4932-8640-65A54D9E052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Castrado</c:v>
              </c:pt>
              <c:pt idx="1">
                <c:v>No</c:v>
              </c:pt>
              <c:pt idx="2">
                <c:v>Si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82</c:v>
              </c:pt>
              <c:pt idx="2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6-7FDB-4932-8640-65A54D9E05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19048155530435"/>
          <c:y val="0.41684915369830738"/>
          <c:w val="0.19476268814375472"/>
          <c:h val="0.323624279248558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Raaza</a:t>
            </a:r>
            <a:r>
              <a:rPr lang="en-US" baseline="0"/>
              <a:t> de Canes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American Bull</c:v>
              </c:pt>
              <c:pt idx="1">
                <c:v>Basset hound</c:v>
              </c:pt>
              <c:pt idx="2">
                <c:v>Bóxer</c:v>
              </c:pt>
              <c:pt idx="3">
                <c:v>Chihuahua</c:v>
              </c:pt>
              <c:pt idx="4">
                <c:v>Cocker</c:v>
              </c:pt>
              <c:pt idx="5">
                <c:v>Husky </c:v>
              </c:pt>
              <c:pt idx="6">
                <c:v>Husky   </c:v>
              </c:pt>
              <c:pt idx="7">
                <c:v>Husky siberiano</c:v>
              </c:pt>
              <c:pt idx="8">
                <c:v>Mastin español</c:v>
              </c:pt>
              <c:pt idx="9">
                <c:v>Pastor aleman</c:v>
              </c:pt>
              <c:pt idx="10">
                <c:v>Pequines Albino</c:v>
              </c:pt>
              <c:pt idx="11">
                <c:v>Perro peruano</c:v>
              </c:pt>
              <c:pt idx="12">
                <c:v>Pug carlino</c:v>
              </c:pt>
              <c:pt idx="13">
                <c:v>S.R.D</c:v>
              </c:pt>
              <c:pt idx="14">
                <c:v>Schnauzer</c:v>
              </c:pt>
              <c:pt idx="15">
                <c:v>Sharpei</c:v>
              </c:pt>
              <c:pt idx="16">
                <c:v>Shitzu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3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4</c:v>
              </c:pt>
              <c:pt idx="11">
                <c:v>2</c:v>
              </c:pt>
              <c:pt idx="12">
                <c:v>2</c:v>
              </c:pt>
              <c:pt idx="13">
                <c:v>37</c:v>
              </c:pt>
              <c:pt idx="14">
                <c:v>6</c:v>
              </c:pt>
              <c:pt idx="15">
                <c:v>1</c:v>
              </c:pt>
              <c:pt idx="16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4FB-42EB-A607-9349B07993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6875296"/>
        <c:axId val="1526876128"/>
      </c:barChart>
      <c:catAx>
        <c:axId val="15268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26876128"/>
        <c:crosses val="autoZero"/>
        <c:auto val="1"/>
        <c:lblAlgn val="ctr"/>
        <c:lblOffset val="100"/>
        <c:noMultiLvlLbl val="0"/>
      </c:catAx>
      <c:valAx>
        <c:axId val="15268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2687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Razas</a:t>
            </a:r>
            <a:r>
              <a:rPr lang="en-US" baseline="0"/>
              <a:t> de Felinos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F5-4117-AB3E-8F3F5103C39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F5-4117-AB3E-8F3F5103C39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F5-4117-AB3E-8F3F5103C39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F5-4117-AB3E-8F3F5103C39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Angora</c:v>
              </c:pt>
              <c:pt idx="1">
                <c:v>Persa</c:v>
              </c:pt>
              <c:pt idx="2">
                <c:v>S.R.D</c:v>
              </c:pt>
              <c:pt idx="3">
                <c:v>Siamés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25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8-E8F5-4117-AB3E-8F3F5103C39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Medicina Preventiva Aplicada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[1]Resumen_Pacientes!$K$5</c:f>
              <c:strCache>
                <c:ptCount val="1"/>
                <c:pt idx="0">
                  <c:v>N° Pacientes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1A-4690-A03E-447773C0B19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1A-4690-A03E-447773C0B19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1A-4690-A03E-447773C0B19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1A-4690-A03E-447773C0B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[1]Resumen_Pacientes!$J$6:$J$7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[1]Resumen_Pacientes!$K$6:$K$7</c:f>
              <c:numCache>
                <c:formatCode>General</c:formatCode>
                <c:ptCount val="2"/>
                <c:pt idx="0">
                  <c:v>32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A-4690-A03E-447773C0B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por Categoría de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[1]Resumen_Pacientes!$B$15</c:f>
              <c:strCache>
                <c:ptCount val="1"/>
                <c:pt idx="0">
                  <c:v>N° Pacientes</c:v>
                </c:pt>
              </c:strCache>
            </c:strRef>
          </c:tx>
          <c:spPr>
            <a:solidFill>
              <a:srgbClr val="D98E0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[1]Resumen_Pacientes!$A$16:$A$19</c:f>
              <c:strCache>
                <c:ptCount val="4"/>
                <c:pt idx="0">
                  <c:v>Cachorro/Cría (0-6 meses)</c:v>
                </c:pt>
                <c:pt idx="1">
                  <c:v>Joven (6-12 meses)</c:v>
                </c:pt>
                <c:pt idx="2">
                  <c:v>Adulto (1-7 años)</c:v>
                </c:pt>
                <c:pt idx="3">
                  <c:v>Senior (7+ años)</c:v>
                </c:pt>
              </c:strCache>
            </c:strRef>
          </c:cat>
          <c:val>
            <c:numRef>
              <c:f>[1]Resumen_Pacientes!$B$16:$B$19</c:f>
              <c:numCache>
                <c:formatCode>General</c:formatCode>
                <c:ptCount val="4"/>
                <c:pt idx="0">
                  <c:v>41</c:v>
                </c:pt>
                <c:pt idx="1">
                  <c:v>18</c:v>
                </c:pt>
                <c:pt idx="2">
                  <c:v>38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9-4B19-88B6-D251FCFCA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4396105"/>
        <c:axId val="85346454"/>
      </c:barChart>
      <c:catAx>
        <c:axId val="943961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5346454"/>
        <c:crosses val="autoZero"/>
        <c:auto val="1"/>
        <c:lblAlgn val="ctr"/>
        <c:lblOffset val="100"/>
        <c:noMultiLvlLbl val="0"/>
      </c:catAx>
      <c:valAx>
        <c:axId val="8534645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4396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Diagnósticos Finales más Frecuentes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[1]Resumen_Pacientes!$K$15</c:f>
              <c:strCache>
                <c:ptCount val="1"/>
                <c:pt idx="0">
                  <c:v>N° Casos</c:v>
                </c:pt>
              </c:strCache>
            </c:strRef>
          </c:tx>
          <c:spPr>
            <a:solidFill>
              <a:srgbClr val="B5651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[1]Resumen_Pacientes!$J$16:$J$23</c:f>
              <c:strCache>
                <c:ptCount val="8"/>
                <c:pt idx="0">
                  <c:v>Gastroenteritis</c:v>
                </c:pt>
                <c:pt idx="1">
                  <c:v>Traqueobronquitis</c:v>
                </c:pt>
                <c:pt idx="2">
                  <c:v>Gastroenteritis hemorragica</c:v>
                </c:pt>
                <c:pt idx="3">
                  <c:v>Parvovirus</c:v>
                </c:pt>
                <c:pt idx="4">
                  <c:v>Gingivitis</c:v>
                </c:pt>
                <c:pt idx="5">
                  <c:v>Traqueobronquitis infecciosa canina</c:v>
                </c:pt>
                <c:pt idx="6">
                  <c:v>Gastroenteritis infecciosa</c:v>
                </c:pt>
                <c:pt idx="7">
                  <c:v>Infección bacteriana</c:v>
                </c:pt>
              </c:strCache>
            </c:strRef>
          </c:cat>
          <c:val>
            <c:numRef>
              <c:f>[1]Resumen_Pacientes!$K$16:$K$23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E-4E5D-AF8C-A817DD80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7986207"/>
        <c:axId val="12636945"/>
      </c:barChart>
      <c:catAx>
        <c:axId val="5798620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2636945"/>
        <c:crosses val="autoZero"/>
        <c:auto val="1"/>
        <c:lblAlgn val="ctr"/>
        <c:lblOffset val="100"/>
        <c:noMultiLvlLbl val="0"/>
      </c:catAx>
      <c:valAx>
        <c:axId val="12636945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7986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Peso Promedio por Especie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[1]Resumen_Pacientes!$B$27</c:f>
              <c:strCache>
                <c:ptCount val="1"/>
                <c:pt idx="0">
                  <c:v>Peso Prom. (kg)</c:v>
                </c:pt>
              </c:strCache>
            </c:strRef>
          </c:tx>
          <c:spPr>
            <a:solidFill>
              <a:srgbClr val="6B8E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[1]Resumen_Pacientes!$A$28:$A$29</c:f>
              <c:strCache>
                <c:ptCount val="2"/>
                <c:pt idx="0">
                  <c:v>Canino</c:v>
                </c:pt>
                <c:pt idx="1">
                  <c:v>Felino</c:v>
                </c:pt>
              </c:strCache>
            </c:strRef>
          </c:cat>
          <c:val>
            <c:numRef>
              <c:f>[1]Resumen_Pacientes!$B$28:$B$29</c:f>
              <c:numCache>
                <c:formatCode>General</c:formatCode>
                <c:ptCount val="2"/>
                <c:pt idx="0">
                  <c:v>5.97</c:v>
                </c:pt>
                <c:pt idx="1">
                  <c:v>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D-46E7-B148-B73530F2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3721078"/>
        <c:axId val="82799519"/>
      </c:barChart>
      <c:catAx>
        <c:axId val="93721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2799519"/>
        <c:crosses val="autoZero"/>
        <c:auto val="1"/>
        <c:lblAlgn val="ctr"/>
        <c:lblOffset val="100"/>
        <c:noMultiLvlLbl val="0"/>
      </c:catAx>
      <c:valAx>
        <c:axId val="827995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3721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Ingresos vs Egresos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[1]Resumen_Ventas!$B$5</c:f>
              <c:strCache>
                <c:ptCount val="1"/>
                <c:pt idx="0">
                  <c:v>Ingresos (S/)</c:v>
                </c:pt>
              </c:strCache>
            </c:strRef>
          </c:tx>
          <c:spPr>
            <a:solidFill>
              <a:srgbClr val="4C8C4A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[1]Resumen_Ventas!$A$6:$A$9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[1]Resumen_Ventas!$B$6:$B$9</c:f>
              <c:numCache>
                <c:formatCode>"S/ "#,##0.00</c:formatCode>
                <c:ptCount val="4"/>
                <c:pt idx="0">
                  <c:v>590</c:v>
                </c:pt>
                <c:pt idx="1">
                  <c:v>7274.5</c:v>
                </c:pt>
                <c:pt idx="2">
                  <c:v>4583</c:v>
                </c:pt>
                <c:pt idx="3">
                  <c:v>5815.5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1-4868-B45E-36D5DC923400}"/>
            </c:ext>
          </c:extLst>
        </c:ser>
        <c:ser>
          <c:idx val="1"/>
          <c:order val="1"/>
          <c:tx>
            <c:strRef>
              <c:f>[1]Resumen_Ventas!$C$5</c:f>
              <c:strCache>
                <c:ptCount val="1"/>
                <c:pt idx="0">
                  <c:v>Egresos (S/)</c:v>
                </c:pt>
              </c:strCache>
            </c:strRef>
          </c:tx>
          <c:spPr>
            <a:solidFill>
              <a:srgbClr val="B5651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[1]Resumen_Ventas!$A$6:$A$9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[1]Resumen_Ventas!$C$6:$C$9</c:f>
              <c:numCache>
                <c:formatCode>"S/ "#,##0.00</c:formatCode>
                <c:ptCount val="4"/>
                <c:pt idx="0">
                  <c:v>27.5</c:v>
                </c:pt>
                <c:pt idx="1">
                  <c:v>915</c:v>
                </c:pt>
                <c:pt idx="2">
                  <c:v>229</c:v>
                </c:pt>
                <c:pt idx="3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1-4868-B45E-36D5DC92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6716157"/>
        <c:axId val="55993606"/>
      </c:barChart>
      <c:catAx>
        <c:axId val="867161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5993606"/>
        <c:crosses val="autoZero"/>
        <c:auto val="1"/>
        <c:lblAlgn val="ctr"/>
        <c:lblOffset val="100"/>
        <c:noMultiLvlLbl val="0"/>
      </c:catAx>
      <c:valAx>
        <c:axId val="5599360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&quot;S/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67161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Ingresos por Modo de 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[1]Resumen_Ventas!$G$5</c:f>
              <c:strCache>
                <c:ptCount val="1"/>
                <c:pt idx="0">
                  <c:v>Monto (S/)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1AC-48D2-8514-3C096BB4EA20}"/>
              </c:ext>
            </c:extLst>
          </c:dPt>
          <c:dPt>
            <c:idx val="1"/>
            <c:bubble3D val="0"/>
            <c:spPr>
              <a:solidFill>
                <a:srgbClr val="4C8C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1AC-48D2-8514-3C096BB4EA20}"/>
              </c:ext>
            </c:extLst>
          </c:dPt>
          <c:dPt>
            <c:idx val="2"/>
            <c:bubble3D val="0"/>
            <c:spPr>
              <a:solidFill>
                <a:srgbClr val="8FBC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1AC-48D2-8514-3C096BB4EA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AC-48D2-8514-3C096BB4EA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AC-48D2-8514-3C096BB4EA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AC-48D2-8514-3C096BB4E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[1]Resumen_Ventas!$F$6:$F$8</c:f>
              <c:strCache>
                <c:ptCount val="3"/>
                <c:pt idx="0">
                  <c:v>Efectivo</c:v>
                </c:pt>
                <c:pt idx="1">
                  <c:v>Yape</c:v>
                </c:pt>
                <c:pt idx="2">
                  <c:v>Mixto</c:v>
                </c:pt>
              </c:strCache>
            </c:strRef>
          </c:cat>
          <c:val>
            <c:numRef>
              <c:f>[1]Resumen_Ventas!$G$6:$G$8</c:f>
              <c:numCache>
                <c:formatCode>"S/ "#,##0.00</c:formatCode>
                <c:ptCount val="3"/>
                <c:pt idx="0">
                  <c:v>14878.5</c:v>
                </c:pt>
                <c:pt idx="1">
                  <c:v>3224.5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AC-48D2-8514-3C096BB4E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Ingresos: Producto vs Servicio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[1]Resumen_Ventas!$J$5</c:f>
              <c:strCache>
                <c:ptCount val="1"/>
                <c:pt idx="0">
                  <c:v>Monto (S/)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8FE-4F43-9AA3-EE8A6E235154}"/>
              </c:ext>
            </c:extLst>
          </c:dPt>
          <c:dPt>
            <c:idx val="1"/>
            <c:bubble3D val="0"/>
            <c:spPr>
              <a:solidFill>
                <a:srgbClr val="4C8C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8FE-4F43-9AA3-EE8A6E2351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E-4F43-9AA3-EE8A6E2351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FE-4F43-9AA3-EE8A6E2351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[1]Resumen_Ventas!$I$6:$I$7</c:f>
              <c:strCache>
                <c:ptCount val="2"/>
                <c:pt idx="0">
                  <c:v>Producto</c:v>
                </c:pt>
                <c:pt idx="1">
                  <c:v>Servicio</c:v>
                </c:pt>
              </c:strCache>
            </c:strRef>
          </c:cat>
          <c:val>
            <c:numRef>
              <c:f>[1]Resumen_Ventas!$J$6:$J$7</c:f>
              <c:numCache>
                <c:formatCode>"S/ "#,##0.00</c:formatCode>
                <c:ptCount val="2"/>
                <c:pt idx="0">
                  <c:v>7351</c:v>
                </c:pt>
                <c:pt idx="1">
                  <c:v>10912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FE-4F43-9AA3-EE8A6E235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Top Servicios por Ingreso Total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[1]Resumen_Ventas!$B$15</c:f>
              <c:strCache>
                <c:ptCount val="1"/>
                <c:pt idx="0">
                  <c:v>Monto (S/)</c:v>
                </c:pt>
              </c:strCache>
            </c:strRef>
          </c:tx>
          <c:spPr>
            <a:solidFill>
              <a:srgbClr val="C9A22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[1]Resumen_Ventas!$A$16:$A$22</c:f>
              <c:strCache>
                <c:ptCount val="7"/>
                <c:pt idx="0">
                  <c:v>Baño y Corte</c:v>
                </c:pt>
                <c:pt idx="1">
                  <c:v>Tratamiento</c:v>
                </c:pt>
                <c:pt idx="2">
                  <c:v>Vacuna</c:v>
                </c:pt>
                <c:pt idx="3">
                  <c:v>Cirugía / Esterilización</c:v>
                </c:pt>
                <c:pt idx="4">
                  <c:v>Baño</c:v>
                </c:pt>
                <c:pt idx="5">
                  <c:v>Inyectable</c:v>
                </c:pt>
                <c:pt idx="6">
                  <c:v>Desparasitación</c:v>
                </c:pt>
              </c:strCache>
            </c:strRef>
          </c:cat>
          <c:val>
            <c:numRef>
              <c:f>[1]Resumen_Ventas!$B$16:$B$22</c:f>
              <c:numCache>
                <c:formatCode>"S/ "#,##0.00</c:formatCode>
                <c:ptCount val="7"/>
                <c:pt idx="0">
                  <c:v>3996</c:v>
                </c:pt>
                <c:pt idx="1">
                  <c:v>2538</c:v>
                </c:pt>
                <c:pt idx="2">
                  <c:v>1644</c:v>
                </c:pt>
                <c:pt idx="3">
                  <c:v>860</c:v>
                </c:pt>
                <c:pt idx="4">
                  <c:v>788</c:v>
                </c:pt>
                <c:pt idx="5">
                  <c:v>709</c:v>
                </c:pt>
                <c:pt idx="6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4-49E2-93C4-E8D2E3EF5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8915518"/>
        <c:axId val="43798091"/>
      </c:barChart>
      <c:catAx>
        <c:axId val="2891551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3798091"/>
        <c:crosses val="autoZero"/>
        <c:auto val="1"/>
        <c:lblAlgn val="ctr"/>
        <c:lblOffset val="100"/>
        <c:noMultiLvlLbl val="0"/>
      </c:catAx>
      <c:valAx>
        <c:axId val="4379809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&quot;S/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89155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Egresos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[1]Resumen_Ventas!$G$15</c:f>
              <c:strCache>
                <c:ptCount val="1"/>
                <c:pt idx="0">
                  <c:v>Egresos (S/)</c:v>
                </c:pt>
              </c:strCache>
            </c:strRef>
          </c:tx>
          <c:spPr>
            <a:solidFill>
              <a:srgbClr val="B5651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[1]Resumen_Ventas!$F$16:$F$19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[1]Resumen_Ventas!$G$16:$G$19</c:f>
              <c:numCache>
                <c:formatCode>"S/ "#,##0.00</c:formatCode>
                <c:ptCount val="4"/>
                <c:pt idx="0">
                  <c:v>27.5</c:v>
                </c:pt>
                <c:pt idx="1">
                  <c:v>915</c:v>
                </c:pt>
                <c:pt idx="2">
                  <c:v>229</c:v>
                </c:pt>
                <c:pt idx="3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2-4C49-8407-3C27BF6E2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6859557"/>
        <c:axId val="41786589"/>
      </c:barChart>
      <c:catAx>
        <c:axId val="96859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1786589"/>
        <c:crosses val="autoZero"/>
        <c:auto val="1"/>
        <c:lblAlgn val="ctr"/>
        <c:lblOffset val="100"/>
        <c:noMultiLvlLbl val="0"/>
      </c:catAx>
      <c:valAx>
        <c:axId val="417865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&quot;S/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6859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Ticket Promedio de Venta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[1]Resumen_Ventas!$J$15</c:f>
              <c:strCache>
                <c:ptCount val="1"/>
                <c:pt idx="0">
                  <c:v>Ticket Prom. (S/)</c:v>
                </c:pt>
              </c:strCache>
            </c:strRef>
          </c:tx>
          <c:spPr>
            <a:solidFill>
              <a:srgbClr val="6B8E9F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[1]Resumen_Ventas!$I$16:$I$19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[1]Resumen_Ventas!$J$16:$J$19</c:f>
              <c:numCache>
                <c:formatCode>"S/ "#,##0.00</c:formatCode>
                <c:ptCount val="4"/>
                <c:pt idx="0">
                  <c:v>31.05</c:v>
                </c:pt>
                <c:pt idx="1">
                  <c:v>35.659999999999997</c:v>
                </c:pt>
                <c:pt idx="2">
                  <c:v>33.950000000000003</c:v>
                </c:pt>
                <c:pt idx="3">
                  <c:v>34.21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E-4301-BE30-5C8912875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8792173"/>
        <c:axId val="36245195"/>
      </c:barChart>
      <c:catAx>
        <c:axId val="587921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6245195"/>
        <c:crosses val="autoZero"/>
        <c:auto val="1"/>
        <c:lblAlgn val="ctr"/>
        <c:lblOffset val="100"/>
        <c:noMultiLvlLbl val="0"/>
      </c:catAx>
      <c:valAx>
        <c:axId val="362451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&quot;S/ &quot;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8792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119773</xdr:rowOff>
    </xdr:from>
    <xdr:to>
      <xdr:col>2</xdr:col>
      <xdr:colOff>412750</xdr:colOff>
      <xdr:row>27</xdr:row>
      <xdr:rowOff>24664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EFAE51-29A3-45CF-95C0-8F2BBCC05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</xdr:colOff>
      <xdr:row>15</xdr:row>
      <xdr:rowOff>158749</xdr:rowOff>
    </xdr:from>
    <xdr:to>
      <xdr:col>7</xdr:col>
      <xdr:colOff>349250</xdr:colOff>
      <xdr:row>26</xdr:row>
      <xdr:rowOff>92074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A5F1A4-C8D9-486B-BA03-C7C89BA45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438151</xdr:colOff>
      <xdr:row>15</xdr:row>
      <xdr:rowOff>57150</xdr:rowOff>
    </xdr:from>
    <xdr:to>
      <xdr:col>12</xdr:col>
      <xdr:colOff>571500</xdr:colOff>
      <xdr:row>26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5B6C385-BA1B-449E-A16A-42F7D5CBA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47625</xdr:colOff>
      <xdr:row>16</xdr:row>
      <xdr:rowOff>174625</xdr:rowOff>
    </xdr:from>
    <xdr:to>
      <xdr:col>32</xdr:col>
      <xdr:colOff>647700</xdr:colOff>
      <xdr:row>28</xdr:row>
      <xdr:rowOff>63500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EC490B-C9A4-4610-AB3D-9F663F6F6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444500</xdr:colOff>
      <xdr:row>16</xdr:row>
      <xdr:rowOff>142875</xdr:rowOff>
    </xdr:from>
    <xdr:to>
      <xdr:col>38</xdr:col>
      <xdr:colOff>698500</xdr:colOff>
      <xdr:row>26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6C9089-1C02-4579-8D61-FB955770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</xdr:colOff>
      <xdr:row>16</xdr:row>
      <xdr:rowOff>0</xdr:rowOff>
    </xdr:from>
    <xdr:to>
      <xdr:col>18</xdr:col>
      <xdr:colOff>666751</xdr:colOff>
      <xdr:row>27</xdr:row>
      <xdr:rowOff>47625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AD07BA78-B8EE-4551-BC5C-9E86F5AE0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0</xdr:colOff>
      <xdr:row>16</xdr:row>
      <xdr:rowOff>1</xdr:rowOff>
    </xdr:from>
    <xdr:to>
      <xdr:col>24</xdr:col>
      <xdr:colOff>666750</xdr:colOff>
      <xdr:row>29</xdr:row>
      <xdr:rowOff>63501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560BF3AD-C1C2-4F1C-ADEA-98BB493AE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42</xdr:col>
      <xdr:colOff>0</xdr:colOff>
      <xdr:row>17</xdr:row>
      <xdr:rowOff>0</xdr:rowOff>
    </xdr:from>
    <xdr:to>
      <xdr:col>45</xdr:col>
      <xdr:colOff>317500</xdr:colOff>
      <xdr:row>29</xdr:row>
      <xdr:rowOff>63500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416B999C-488F-4613-A4B6-C72C67D44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48</xdr:col>
      <xdr:colOff>1</xdr:colOff>
      <xdr:row>17</xdr:row>
      <xdr:rowOff>0</xdr:rowOff>
    </xdr:from>
    <xdr:to>
      <xdr:col>52</xdr:col>
      <xdr:colOff>266701</xdr:colOff>
      <xdr:row>31</xdr:row>
      <xdr:rowOff>114300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0BEB1F12-89CE-4C74-88AC-7B9892CF8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180974</xdr:rowOff>
    </xdr:from>
    <xdr:to>
      <xdr:col>5</xdr:col>
      <xdr:colOff>742950</xdr:colOff>
      <xdr:row>24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309E-A5E4-4133-9B52-C3492132F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1</xdr:rowOff>
    </xdr:from>
    <xdr:to>
      <xdr:col>11</xdr:col>
      <xdr:colOff>134327</xdr:colOff>
      <xdr:row>24</xdr:row>
      <xdr:rowOff>73270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1ED6292-F1E5-4E44-9DD2-BD24D1EA7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</xdr:colOff>
      <xdr:row>12</xdr:row>
      <xdr:rowOff>0</xdr:rowOff>
    </xdr:from>
    <xdr:to>
      <xdr:col>17</xdr:col>
      <xdr:colOff>158751</xdr:colOff>
      <xdr:row>23</xdr:row>
      <xdr:rowOff>183174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2133023-305C-4C30-81DC-BE0F98BB1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671435</xdr:colOff>
      <xdr:row>15</xdr:row>
      <xdr:rowOff>31230</xdr:rowOff>
    </xdr:from>
    <xdr:to>
      <xdr:col>29</xdr:col>
      <xdr:colOff>169383</xdr:colOff>
      <xdr:row>28</xdr:row>
      <xdr:rowOff>126479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E3209633-442E-4F07-BDE8-8C7D16C93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32</xdr:col>
      <xdr:colOff>1</xdr:colOff>
      <xdr:row>14</xdr:row>
      <xdr:rowOff>0</xdr:rowOff>
    </xdr:from>
    <xdr:to>
      <xdr:col>36</xdr:col>
      <xdr:colOff>484058</xdr:colOff>
      <xdr:row>28</xdr:row>
      <xdr:rowOff>31229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AB892FF-6560-4A25-9DD5-0C933462D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39</xdr:col>
      <xdr:colOff>0</xdr:colOff>
      <xdr:row>14</xdr:row>
      <xdr:rowOff>0</xdr:rowOff>
    </xdr:from>
    <xdr:to>
      <xdr:col>44</xdr:col>
      <xdr:colOff>250465</xdr:colOff>
      <xdr:row>32</xdr:row>
      <xdr:rowOff>17061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69CA1A6F-14DD-46FC-92D1-BCCAEADEB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.DESKTOP-G2T9765/Downloads/Historial_clinico_base_5_con_grafic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_Pacientes"/>
      <sheetName val="Resumen_Ventas"/>
      <sheetName val="Datos"/>
      <sheetName val="Datos_Pacientes"/>
      <sheetName val="Registro de ventas"/>
      <sheetName val="Datos_Ventas"/>
      <sheetName val="Edad"/>
      <sheetName val="Rza de Canes"/>
      <sheetName val="Raza de Felinos"/>
      <sheetName val="Genero"/>
      <sheetName val="Especie"/>
      <sheetName val="Raza"/>
      <sheetName val="Sexo"/>
      <sheetName val="Esterilizado"/>
    </sheetNames>
    <sheetDataSet>
      <sheetData sheetId="0">
        <row r="5">
          <cell r="B5" t="str">
            <v>N° Pacientes</v>
          </cell>
          <cell r="K5" t="str">
            <v>N° Pacientes</v>
          </cell>
        </row>
        <row r="6">
          <cell r="A6" t="str">
            <v>Canino</v>
          </cell>
          <cell r="B6">
            <v>69</v>
          </cell>
          <cell r="J6" t="str">
            <v>Sí</v>
          </cell>
          <cell r="K6">
            <v>32</v>
          </cell>
        </row>
        <row r="7">
          <cell r="A7" t="str">
            <v>Felino</v>
          </cell>
          <cell r="B7">
            <v>29</v>
          </cell>
          <cell r="J7" t="str">
            <v>No</v>
          </cell>
          <cell r="K7">
            <v>67</v>
          </cell>
        </row>
        <row r="8">
          <cell r="A8" t="str">
            <v>Conejo</v>
          </cell>
          <cell r="B8">
            <v>1</v>
          </cell>
        </row>
        <row r="9">
          <cell r="A9" t="str">
            <v>Gallus</v>
          </cell>
          <cell r="B9">
            <v>1</v>
          </cell>
        </row>
        <row r="15">
          <cell r="B15" t="str">
            <v>N° Pacientes</v>
          </cell>
          <cell r="K15" t="str">
            <v>N° Casos</v>
          </cell>
        </row>
        <row r="16">
          <cell r="A16" t="str">
            <v>Cachorro/Cría (0-6 meses)</v>
          </cell>
          <cell r="B16">
            <v>41</v>
          </cell>
          <cell r="J16" t="str">
            <v>Gastroenteritis</v>
          </cell>
          <cell r="K16">
            <v>5</v>
          </cell>
        </row>
        <row r="17">
          <cell r="A17" t="str">
            <v>Joven (6-12 meses)</v>
          </cell>
          <cell r="B17">
            <v>18</v>
          </cell>
          <cell r="J17" t="str">
            <v>Traqueobronquitis</v>
          </cell>
          <cell r="K17">
            <v>5</v>
          </cell>
        </row>
        <row r="18">
          <cell r="A18" t="str">
            <v>Adulto (1-7 años)</v>
          </cell>
          <cell r="B18">
            <v>38</v>
          </cell>
          <cell r="J18" t="str">
            <v>Gastroenteritis hemorragica</v>
          </cell>
          <cell r="K18">
            <v>4</v>
          </cell>
        </row>
        <row r="19">
          <cell r="A19" t="str">
            <v>Senior (7+ años)</v>
          </cell>
          <cell r="B19">
            <v>2</v>
          </cell>
          <cell r="J19" t="str">
            <v>Parvovirus</v>
          </cell>
          <cell r="K19">
            <v>3</v>
          </cell>
        </row>
        <row r="20">
          <cell r="J20" t="str">
            <v>Gingivitis</v>
          </cell>
          <cell r="K20">
            <v>2</v>
          </cell>
        </row>
        <row r="21">
          <cell r="J21" t="str">
            <v>Traqueobronquitis infecciosa canina</v>
          </cell>
          <cell r="K21">
            <v>1</v>
          </cell>
        </row>
        <row r="22">
          <cell r="J22" t="str">
            <v>Gastroenteritis infecciosa</v>
          </cell>
          <cell r="K22">
            <v>1</v>
          </cell>
        </row>
        <row r="23">
          <cell r="J23" t="str">
            <v>Infección bacteriana</v>
          </cell>
          <cell r="K23">
            <v>1</v>
          </cell>
        </row>
        <row r="27">
          <cell r="B27" t="str">
            <v>Peso Prom. (kg)</v>
          </cell>
        </row>
        <row r="28">
          <cell r="A28" t="str">
            <v>Canino</v>
          </cell>
          <cell r="B28">
            <v>5.97</v>
          </cell>
        </row>
        <row r="29">
          <cell r="A29" t="str">
            <v>Felino</v>
          </cell>
          <cell r="B29">
            <v>3.36</v>
          </cell>
        </row>
      </sheetData>
      <sheetData sheetId="1">
        <row r="5">
          <cell r="B5" t="str">
            <v>Ingresos (S/)</v>
          </cell>
          <cell r="C5" t="str">
            <v>Egresos (S/)</v>
          </cell>
          <cell r="G5" t="str">
            <v>Monto (S/)</v>
          </cell>
          <cell r="J5" t="str">
            <v>Monto (S/)</v>
          </cell>
        </row>
        <row r="6">
          <cell r="A6" t="str">
            <v>Enero</v>
          </cell>
          <cell r="B6">
            <v>590</v>
          </cell>
          <cell r="C6">
            <v>27.5</v>
          </cell>
          <cell r="F6" t="str">
            <v>Efectivo</v>
          </cell>
          <cell r="G6">
            <v>14878.5</v>
          </cell>
          <cell r="I6" t="str">
            <v>Producto</v>
          </cell>
          <cell r="J6">
            <v>7351</v>
          </cell>
        </row>
        <row r="7">
          <cell r="A7" t="str">
            <v>Febrero</v>
          </cell>
          <cell r="B7">
            <v>7274.5</v>
          </cell>
          <cell r="C7">
            <v>915</v>
          </cell>
          <cell r="F7" t="str">
            <v>Yape</v>
          </cell>
          <cell r="G7">
            <v>3224.5</v>
          </cell>
          <cell r="I7" t="str">
            <v>Servicio</v>
          </cell>
          <cell r="J7">
            <v>10912</v>
          </cell>
        </row>
        <row r="8">
          <cell r="A8" t="str">
            <v>Marzo</v>
          </cell>
          <cell r="B8">
            <v>4583</v>
          </cell>
          <cell r="C8">
            <v>229</v>
          </cell>
          <cell r="F8" t="str">
            <v>Mixto</v>
          </cell>
          <cell r="G8">
            <v>160</v>
          </cell>
        </row>
        <row r="9">
          <cell r="A9" t="str">
            <v>Abril</v>
          </cell>
          <cell r="B9">
            <v>5815.5</v>
          </cell>
          <cell r="C9">
            <v>16.5</v>
          </cell>
        </row>
        <row r="15">
          <cell r="B15" t="str">
            <v>Monto (S/)</v>
          </cell>
          <cell r="G15" t="str">
            <v>Egresos (S/)</v>
          </cell>
          <cell r="J15" t="str">
            <v>Ticket Prom. (S/)</v>
          </cell>
        </row>
        <row r="16">
          <cell r="A16" t="str">
            <v>Baño y Corte</v>
          </cell>
          <cell r="B16">
            <v>3996</v>
          </cell>
          <cell r="F16" t="str">
            <v>Enero</v>
          </cell>
          <cell r="G16">
            <v>27.5</v>
          </cell>
          <cell r="I16" t="str">
            <v>Enero</v>
          </cell>
          <cell r="J16">
            <v>31.05</v>
          </cell>
        </row>
        <row r="17">
          <cell r="A17" t="str">
            <v>Tratamiento</v>
          </cell>
          <cell r="B17">
            <v>2538</v>
          </cell>
          <cell r="F17" t="str">
            <v>Febrero</v>
          </cell>
          <cell r="G17">
            <v>915</v>
          </cell>
          <cell r="I17" t="str">
            <v>Febrero</v>
          </cell>
          <cell r="J17">
            <v>35.659999999999997</v>
          </cell>
        </row>
        <row r="18">
          <cell r="A18" t="str">
            <v>Vacuna</v>
          </cell>
          <cell r="B18">
            <v>1644</v>
          </cell>
          <cell r="F18" t="str">
            <v>Marzo</v>
          </cell>
          <cell r="G18">
            <v>229</v>
          </cell>
          <cell r="I18" t="str">
            <v>Marzo</v>
          </cell>
          <cell r="J18">
            <v>33.950000000000003</v>
          </cell>
        </row>
        <row r="19">
          <cell r="A19" t="str">
            <v>Cirugía / Esterilización</v>
          </cell>
          <cell r="B19">
            <v>860</v>
          </cell>
          <cell r="F19" t="str">
            <v>Abril</v>
          </cell>
          <cell r="G19">
            <v>16.5</v>
          </cell>
          <cell r="I19" t="str">
            <v>Abril</v>
          </cell>
          <cell r="J19">
            <v>34.21</v>
          </cell>
        </row>
        <row r="20">
          <cell r="A20" t="str">
            <v>Baño</v>
          </cell>
          <cell r="B20">
            <v>788</v>
          </cell>
        </row>
        <row r="21">
          <cell r="A21" t="str">
            <v>Inyectable</v>
          </cell>
          <cell r="B21">
            <v>709</v>
          </cell>
        </row>
        <row r="22">
          <cell r="A22" t="str">
            <v>Desparasitación</v>
          </cell>
          <cell r="B22">
            <v>252</v>
          </cell>
        </row>
      </sheetData>
      <sheetData sheetId="2"/>
      <sheetData sheetId="3">
        <row r="2">
          <cell r="D2" t="str">
            <v>Canino</v>
          </cell>
          <cell r="E2" t="str">
            <v>Schnauzer</v>
          </cell>
          <cell r="F2" t="str">
            <v>Hembra</v>
          </cell>
          <cell r="I2" t="str">
            <v>Joven (6-12 meses)</v>
          </cell>
          <cell r="L2">
            <v>7.8</v>
          </cell>
          <cell r="M2" t="str">
            <v>No</v>
          </cell>
          <cell r="N2" t="str">
            <v>puppy + cuadruple</v>
          </cell>
          <cell r="P2" t="str">
            <v>Dermatitis atópica causado por</v>
          </cell>
        </row>
        <row r="3">
          <cell r="D3" t="str">
            <v>Canino</v>
          </cell>
          <cell r="E3" t="str">
            <v>Pequines Albino</v>
          </cell>
          <cell r="F3" t="str">
            <v>Macho</v>
          </cell>
          <cell r="I3" t="str">
            <v>Cachorro/Cría (0-6 meses)</v>
          </cell>
          <cell r="L3">
            <v>3.7</v>
          </cell>
          <cell r="M3" t="str">
            <v>No</v>
          </cell>
          <cell r="N3" t="str">
            <v>No</v>
          </cell>
          <cell r="P3" t="str">
            <v>Parvovirus</v>
          </cell>
        </row>
        <row r="4">
          <cell r="D4" t="str">
            <v>Canino</v>
          </cell>
          <cell r="E4" t="str">
            <v>S.R.D</v>
          </cell>
          <cell r="F4" t="str">
            <v>Macho</v>
          </cell>
          <cell r="I4" t="str">
            <v>Joven (6-12 meses)</v>
          </cell>
          <cell r="L4">
            <v>5.66</v>
          </cell>
          <cell r="M4" t="str">
            <v>No</v>
          </cell>
          <cell r="N4" t="str">
            <v>No</v>
          </cell>
        </row>
        <row r="5">
          <cell r="D5" t="str">
            <v>Canino</v>
          </cell>
          <cell r="E5" t="str">
            <v>Husky siberiano</v>
          </cell>
          <cell r="F5" t="str">
            <v>Hembra</v>
          </cell>
          <cell r="I5" t="str">
            <v>Cachorro/Cría (0-6 meses)</v>
          </cell>
          <cell r="L5">
            <v>8.5</v>
          </cell>
          <cell r="M5" t="str">
            <v>No</v>
          </cell>
          <cell r="N5" t="str">
            <v>Sí</v>
          </cell>
          <cell r="P5" t="str">
            <v>Gastroenteritis</v>
          </cell>
        </row>
        <row r="6">
          <cell r="D6" t="str">
            <v>Felino</v>
          </cell>
          <cell r="E6" t="str">
            <v>S.R.D</v>
          </cell>
          <cell r="F6" t="str">
            <v>Macho</v>
          </cell>
          <cell r="I6" t="str">
            <v>Adulto (1-7 años)</v>
          </cell>
          <cell r="L6">
            <v>4.8</v>
          </cell>
          <cell r="M6" t="str">
            <v>Sí</v>
          </cell>
          <cell r="N6" t="str">
            <v>No</v>
          </cell>
          <cell r="P6" t="str">
            <v>Gingivitis</v>
          </cell>
        </row>
        <row r="7">
          <cell r="D7" t="str">
            <v>Canino</v>
          </cell>
          <cell r="E7" t="str">
            <v>Pequines Albino</v>
          </cell>
          <cell r="F7" t="str">
            <v>Macho</v>
          </cell>
          <cell r="I7" t="str">
            <v>Adulto (1-7 años)</v>
          </cell>
          <cell r="L7">
            <v>4.7</v>
          </cell>
          <cell r="M7" t="str">
            <v>No</v>
          </cell>
          <cell r="N7" t="str">
            <v>No</v>
          </cell>
        </row>
        <row r="8">
          <cell r="D8" t="str">
            <v>Felino</v>
          </cell>
          <cell r="E8" t="str">
            <v>S.R.D</v>
          </cell>
          <cell r="F8" t="str">
            <v>Macho</v>
          </cell>
          <cell r="I8" t="str">
            <v>Adulto (1-7 años)</v>
          </cell>
          <cell r="L8">
            <v>4.0999999999999996</v>
          </cell>
          <cell r="M8" t="str">
            <v>Sí</v>
          </cell>
          <cell r="N8" t="str">
            <v>No</v>
          </cell>
        </row>
        <row r="9">
          <cell r="D9" t="str">
            <v>Canino</v>
          </cell>
          <cell r="E9" t="str">
            <v>S.R.D</v>
          </cell>
          <cell r="F9" t="str">
            <v>Macho</v>
          </cell>
          <cell r="I9" t="str">
            <v>Cachorro/Cría (0-6 meses)</v>
          </cell>
          <cell r="L9">
            <v>1.3</v>
          </cell>
          <cell r="M9" t="str">
            <v>No</v>
          </cell>
          <cell r="N9" t="str">
            <v>No</v>
          </cell>
        </row>
        <row r="10">
          <cell r="D10" t="str">
            <v>Felino</v>
          </cell>
          <cell r="E10" t="str">
            <v>S.R.D</v>
          </cell>
          <cell r="F10" t="str">
            <v>Macho</v>
          </cell>
          <cell r="I10" t="str">
            <v>Cachorro/Cría (0-6 meses)</v>
          </cell>
          <cell r="L10">
            <v>7.35</v>
          </cell>
          <cell r="M10" t="str">
            <v>No</v>
          </cell>
          <cell r="N10" t="str">
            <v>No</v>
          </cell>
          <cell r="P10" t="str">
            <v>Gastroenteritis</v>
          </cell>
        </row>
        <row r="11">
          <cell r="D11" t="str">
            <v>Canino</v>
          </cell>
          <cell r="E11" t="str">
            <v>S.R.D</v>
          </cell>
          <cell r="F11" t="str">
            <v>Macho</v>
          </cell>
          <cell r="I11" t="str">
            <v>Cachorro/Cría (0-6 meses)</v>
          </cell>
          <cell r="L11">
            <v>4.2</v>
          </cell>
          <cell r="M11" t="str">
            <v>No</v>
          </cell>
          <cell r="N11" t="str">
            <v>No</v>
          </cell>
        </row>
        <row r="12">
          <cell r="D12" t="str">
            <v>Canino</v>
          </cell>
          <cell r="E12" t="str">
            <v>Perro peruano</v>
          </cell>
          <cell r="F12" t="str">
            <v>Macho</v>
          </cell>
          <cell r="I12" t="str">
            <v>Cachorro/Cría (0-6 meses)</v>
          </cell>
          <cell r="L12">
            <v>2.9</v>
          </cell>
          <cell r="M12" t="str">
            <v>No</v>
          </cell>
          <cell r="N12" t="str">
            <v>No</v>
          </cell>
          <cell r="P12" t="str">
            <v>Traquea inflamada</v>
          </cell>
        </row>
        <row r="13">
          <cell r="D13" t="str">
            <v>Canino</v>
          </cell>
          <cell r="E13" t="str">
            <v>S.R.D</v>
          </cell>
          <cell r="F13" t="str">
            <v>Macho</v>
          </cell>
          <cell r="I13" t="str">
            <v>Cachorro/Cría (0-6 meses)</v>
          </cell>
          <cell r="L13">
            <v>0.7</v>
          </cell>
          <cell r="M13" t="str">
            <v>No</v>
          </cell>
          <cell r="N13" t="str">
            <v>No</v>
          </cell>
          <cell r="P13" t="str">
            <v>Gastroenteritis hemorragica</v>
          </cell>
        </row>
        <row r="14">
          <cell r="D14" t="str">
            <v>Canino</v>
          </cell>
          <cell r="E14" t="str">
            <v>Pequines Albino</v>
          </cell>
          <cell r="F14" t="str">
            <v>Hembra</v>
          </cell>
          <cell r="I14" t="str">
            <v>Cachorro/Cría (0-6 meses)</v>
          </cell>
          <cell r="L14">
            <v>4.2</v>
          </cell>
          <cell r="M14" t="str">
            <v>No</v>
          </cell>
          <cell r="N14" t="str">
            <v>No</v>
          </cell>
          <cell r="P14" t="str">
            <v>Parvovirus</v>
          </cell>
        </row>
        <row r="15">
          <cell r="D15" t="str">
            <v>Canino</v>
          </cell>
          <cell r="E15" t="str">
            <v>S.R.D</v>
          </cell>
          <cell r="F15" t="str">
            <v>Macho</v>
          </cell>
          <cell r="I15" t="str">
            <v>Cachorro/Cría (0-6 meses)</v>
          </cell>
          <cell r="L15">
            <v>2.0750000000000002</v>
          </cell>
          <cell r="M15" t="str">
            <v>No</v>
          </cell>
          <cell r="N15" t="str">
            <v>No</v>
          </cell>
        </row>
        <row r="16">
          <cell r="D16" t="str">
            <v>Canino</v>
          </cell>
          <cell r="E16" t="str">
            <v>S.R.D</v>
          </cell>
          <cell r="F16" t="str">
            <v>Hembra</v>
          </cell>
          <cell r="I16" t="str">
            <v>Cachorro/Cría (0-6 meses)</v>
          </cell>
          <cell r="L16">
            <v>3.1</v>
          </cell>
          <cell r="M16" t="str">
            <v>No</v>
          </cell>
          <cell r="N16" t="str">
            <v>No</v>
          </cell>
          <cell r="P16" t="str">
            <v>Gastroenteritis hemorragica</v>
          </cell>
        </row>
        <row r="17">
          <cell r="D17" t="str">
            <v>Canino</v>
          </cell>
          <cell r="E17" t="str">
            <v>S.R.D</v>
          </cell>
          <cell r="F17" t="str">
            <v>Macho</v>
          </cell>
          <cell r="I17" t="str">
            <v>Cachorro/Cría (0-6 meses)</v>
          </cell>
          <cell r="L17">
            <v>2.7</v>
          </cell>
          <cell r="M17" t="str">
            <v>No</v>
          </cell>
          <cell r="N17" t="str">
            <v>No</v>
          </cell>
        </row>
        <row r="18">
          <cell r="D18" t="str">
            <v>Conejo</v>
          </cell>
          <cell r="E18" t="str">
            <v>S.R.D</v>
          </cell>
          <cell r="F18" t="str">
            <v>Hembra</v>
          </cell>
          <cell r="I18" t="str">
            <v>Cachorro/Cría (0-6 meses)</v>
          </cell>
          <cell r="L18">
            <v>0.315</v>
          </cell>
          <cell r="M18" t="str">
            <v>No</v>
          </cell>
          <cell r="N18" t="str">
            <v>No</v>
          </cell>
        </row>
        <row r="19">
          <cell r="D19" t="str">
            <v>Canino</v>
          </cell>
          <cell r="E19" t="str">
            <v>S.R.D</v>
          </cell>
          <cell r="F19" t="str">
            <v>Macho</v>
          </cell>
          <cell r="I19" t="str">
            <v>Joven (6-12 meses)</v>
          </cell>
          <cell r="L19">
            <v>5.7</v>
          </cell>
          <cell r="M19" t="str">
            <v>No</v>
          </cell>
          <cell r="N19" t="str">
            <v>No</v>
          </cell>
          <cell r="P19" t="str">
            <v>Gastroenteritis</v>
          </cell>
        </row>
        <row r="20">
          <cell r="D20" t="str">
            <v>Felino</v>
          </cell>
          <cell r="E20" t="str">
            <v>S.R.D</v>
          </cell>
          <cell r="F20" t="str">
            <v>Macho</v>
          </cell>
          <cell r="I20" t="str">
            <v>Cachorro/Cría (0-6 meses)</v>
          </cell>
          <cell r="L20">
            <v>3</v>
          </cell>
          <cell r="M20" t="str">
            <v>No</v>
          </cell>
          <cell r="N20" t="str">
            <v>No</v>
          </cell>
        </row>
        <row r="21">
          <cell r="D21" t="str">
            <v>Canino</v>
          </cell>
          <cell r="E21" t="str">
            <v>Schnauzer</v>
          </cell>
          <cell r="F21" t="str">
            <v>Macho</v>
          </cell>
          <cell r="I21" t="str">
            <v>Cachorro/Cría (0-6 meses)</v>
          </cell>
          <cell r="L21">
            <v>2.2000000000000002</v>
          </cell>
          <cell r="M21" t="str">
            <v>No</v>
          </cell>
          <cell r="N21" t="str">
            <v>No</v>
          </cell>
        </row>
        <row r="22">
          <cell r="D22" t="str">
            <v>Felino</v>
          </cell>
          <cell r="E22" t="str">
            <v>Siamés</v>
          </cell>
          <cell r="F22" t="str">
            <v>Hembra</v>
          </cell>
          <cell r="I22" t="str">
            <v>Joven (6-12 meses)</v>
          </cell>
          <cell r="L22">
            <v>2.5</v>
          </cell>
          <cell r="M22" t="str">
            <v>Sí</v>
          </cell>
          <cell r="N22" t="str">
            <v>Sí</v>
          </cell>
        </row>
        <row r="23">
          <cell r="D23" t="str">
            <v>Canino</v>
          </cell>
          <cell r="E23" t="str">
            <v>Schnauzer</v>
          </cell>
          <cell r="F23" t="str">
            <v>Macho</v>
          </cell>
          <cell r="I23" t="str">
            <v>Cachorro/Cría (0-6 meses)</v>
          </cell>
          <cell r="L23">
            <v>5.3</v>
          </cell>
          <cell r="M23" t="str">
            <v>No</v>
          </cell>
          <cell r="N23" t="str">
            <v>No</v>
          </cell>
        </row>
        <row r="24">
          <cell r="D24" t="str">
            <v>Felino</v>
          </cell>
          <cell r="E24" t="str">
            <v>S.R.D</v>
          </cell>
          <cell r="F24" t="str">
            <v>Macho</v>
          </cell>
          <cell r="I24" t="str">
            <v>Cachorro/Cría (0-6 meses)</v>
          </cell>
          <cell r="L24">
            <v>4.3</v>
          </cell>
          <cell r="M24" t="str">
            <v>No</v>
          </cell>
          <cell r="N24" t="str">
            <v>No</v>
          </cell>
        </row>
        <row r="25">
          <cell r="D25" t="str">
            <v>Canino</v>
          </cell>
          <cell r="E25" t="str">
            <v>Chihuahua</v>
          </cell>
          <cell r="F25" t="str">
            <v>Hembra</v>
          </cell>
          <cell r="I25" t="str">
            <v>Joven (6-12 meses)</v>
          </cell>
          <cell r="L25">
            <v>2.7</v>
          </cell>
          <cell r="M25" t="str">
            <v>No</v>
          </cell>
          <cell r="N25" t="str">
            <v>Sí</v>
          </cell>
          <cell r="P25" t="str">
            <v>Gastroenteritis infecciosa</v>
          </cell>
        </row>
        <row r="26">
          <cell r="D26" t="str">
            <v>Felino</v>
          </cell>
          <cell r="E26" t="str">
            <v>S.R.D</v>
          </cell>
          <cell r="F26" t="str">
            <v>Macho</v>
          </cell>
          <cell r="I26" t="str">
            <v>Adulto (1-7 años)</v>
          </cell>
          <cell r="L26">
            <v>4.5</v>
          </cell>
          <cell r="M26" t="str">
            <v>Castrado</v>
          </cell>
          <cell r="N26" t="str">
            <v>No</v>
          </cell>
        </row>
        <row r="27">
          <cell r="D27" t="str">
            <v>Canino</v>
          </cell>
          <cell r="E27" t="str">
            <v>Cocker</v>
          </cell>
          <cell r="F27" t="str">
            <v>Macho</v>
          </cell>
          <cell r="I27" t="str">
            <v>Adulto (1-7 años)</v>
          </cell>
          <cell r="L27">
            <v>6.5</v>
          </cell>
          <cell r="M27" t="str">
            <v>No</v>
          </cell>
          <cell r="N27" t="str">
            <v>No</v>
          </cell>
          <cell r="P27" t="str">
            <v>Infección bacteriana</v>
          </cell>
        </row>
        <row r="28">
          <cell r="D28" t="str">
            <v>Canino</v>
          </cell>
          <cell r="E28" t="str">
            <v>S.R.D</v>
          </cell>
          <cell r="F28" t="str">
            <v>Macho</v>
          </cell>
          <cell r="I28" t="str">
            <v>Joven (6-12 meses)</v>
          </cell>
          <cell r="L28">
            <v>9.33</v>
          </cell>
          <cell r="M28" t="str">
            <v>No</v>
          </cell>
          <cell r="N28" t="str">
            <v>No</v>
          </cell>
        </row>
        <row r="29">
          <cell r="D29" t="str">
            <v>Canino</v>
          </cell>
          <cell r="E29" t="str">
            <v>S.R.D</v>
          </cell>
          <cell r="F29" t="str">
            <v>Hembra</v>
          </cell>
          <cell r="I29" t="str">
            <v>Adulto (1-7 años)</v>
          </cell>
          <cell r="L29">
            <v>5.7</v>
          </cell>
          <cell r="M29" t="str">
            <v>No</v>
          </cell>
          <cell r="N29" t="str">
            <v>No</v>
          </cell>
          <cell r="P29" t="str">
            <v>Gastroenteritis hemorragica</v>
          </cell>
        </row>
        <row r="30">
          <cell r="D30" t="str">
            <v>Canino</v>
          </cell>
          <cell r="E30" t="str">
            <v>Perro peruano</v>
          </cell>
          <cell r="F30" t="str">
            <v>Hembra</v>
          </cell>
          <cell r="I30" t="str">
            <v>Adulto (1-7 años)</v>
          </cell>
          <cell r="L30">
            <v>2.4</v>
          </cell>
          <cell r="M30" t="str">
            <v>No</v>
          </cell>
          <cell r="N30" t="str">
            <v>No</v>
          </cell>
        </row>
        <row r="31">
          <cell r="D31" t="str">
            <v>Canino</v>
          </cell>
          <cell r="E31" t="str">
            <v>S.R.D</v>
          </cell>
          <cell r="F31" t="str">
            <v>Hembra</v>
          </cell>
          <cell r="I31" t="str">
            <v>Cachorro/Cría (0-6 meses)</v>
          </cell>
          <cell r="L31">
            <v>2.1</v>
          </cell>
          <cell r="M31" t="str">
            <v>No</v>
          </cell>
          <cell r="N31" t="str">
            <v>No</v>
          </cell>
        </row>
        <row r="32">
          <cell r="D32" t="str">
            <v>Canino</v>
          </cell>
          <cell r="E32" t="str">
            <v>S.R.D</v>
          </cell>
          <cell r="F32" t="str">
            <v>Macho</v>
          </cell>
          <cell r="I32" t="str">
            <v>Joven (6-12 meses)</v>
          </cell>
          <cell r="L32">
            <v>3.1</v>
          </cell>
          <cell r="M32" t="str">
            <v>No</v>
          </cell>
          <cell r="N32" t="str">
            <v>No</v>
          </cell>
        </row>
        <row r="33">
          <cell r="D33" t="str">
            <v>Canino</v>
          </cell>
          <cell r="E33" t="str">
            <v>Pug carlino</v>
          </cell>
          <cell r="F33" t="str">
            <v>Hembra</v>
          </cell>
          <cell r="I33" t="str">
            <v>Adulto (1-7 años)</v>
          </cell>
          <cell r="L33">
            <v>2.9</v>
          </cell>
          <cell r="M33" t="str">
            <v>No</v>
          </cell>
          <cell r="N33" t="str">
            <v>Sí</v>
          </cell>
          <cell r="P33" t="str">
            <v>Micosis</v>
          </cell>
        </row>
        <row r="34">
          <cell r="D34" t="str">
            <v>Canino</v>
          </cell>
          <cell r="E34" t="str">
            <v>S.R.D</v>
          </cell>
          <cell r="F34" t="str">
            <v>Macho</v>
          </cell>
          <cell r="I34" t="str">
            <v>Cachorro/Cría (0-6 meses)</v>
          </cell>
          <cell r="L34">
            <v>1.6</v>
          </cell>
          <cell r="M34" t="str">
            <v>No</v>
          </cell>
          <cell r="N34" t="str">
            <v>Sí</v>
          </cell>
        </row>
        <row r="35">
          <cell r="D35" t="str">
            <v>Canino</v>
          </cell>
          <cell r="E35" t="str">
            <v>Shitzu</v>
          </cell>
          <cell r="F35" t="str">
            <v>Hembra</v>
          </cell>
          <cell r="I35" t="str">
            <v>Adulto (1-7 años)</v>
          </cell>
          <cell r="L35">
            <v>2.5</v>
          </cell>
          <cell r="M35" t="str">
            <v>No</v>
          </cell>
          <cell r="N35" t="str">
            <v>Sí</v>
          </cell>
          <cell r="P35" t="str">
            <v>Hepatitis</v>
          </cell>
        </row>
        <row r="36">
          <cell r="D36" t="str">
            <v>Felino</v>
          </cell>
          <cell r="E36" t="str">
            <v>S.R.D</v>
          </cell>
          <cell r="F36" t="str">
            <v>Macho</v>
          </cell>
          <cell r="I36" t="str">
            <v>Adulto (1-7 años)</v>
          </cell>
          <cell r="L36">
            <v>2.1</v>
          </cell>
          <cell r="M36" t="str">
            <v>No</v>
          </cell>
          <cell r="N36" t="str">
            <v>No</v>
          </cell>
        </row>
        <row r="37">
          <cell r="D37" t="str">
            <v>Canino</v>
          </cell>
          <cell r="E37" t="str">
            <v>S.R.D</v>
          </cell>
          <cell r="F37" t="str">
            <v>Macho</v>
          </cell>
          <cell r="I37" t="str">
            <v>Adulto (1-7 años)</v>
          </cell>
          <cell r="L37">
            <v>8.5</v>
          </cell>
          <cell r="M37" t="str">
            <v>No</v>
          </cell>
          <cell r="N37" t="str">
            <v>No</v>
          </cell>
          <cell r="P37" t="str">
            <v>Traqueobronquitis infecciosa canina</v>
          </cell>
        </row>
        <row r="38">
          <cell r="D38" t="str">
            <v>Felino</v>
          </cell>
          <cell r="E38" t="str">
            <v>Angora</v>
          </cell>
          <cell r="F38" t="str">
            <v>Macho</v>
          </cell>
          <cell r="I38" t="str">
            <v>Joven (6-12 meses)</v>
          </cell>
          <cell r="L38">
            <v>3.6</v>
          </cell>
          <cell r="M38" t="str">
            <v>No</v>
          </cell>
          <cell r="N38" t="str">
            <v>No</v>
          </cell>
        </row>
        <row r="39">
          <cell r="D39" t="str">
            <v>Felino</v>
          </cell>
          <cell r="E39" t="str">
            <v>S.R.D</v>
          </cell>
          <cell r="F39" t="str">
            <v>Macho</v>
          </cell>
          <cell r="I39" t="str">
            <v>Cachorro/Cría (0-6 meses)</v>
          </cell>
          <cell r="L39">
            <v>0.35</v>
          </cell>
          <cell r="M39" t="str">
            <v>No</v>
          </cell>
          <cell r="N39" t="str">
            <v>No</v>
          </cell>
        </row>
        <row r="40">
          <cell r="D40" t="str">
            <v>Gallus</v>
          </cell>
          <cell r="E40" t="str">
            <v>Domesticus</v>
          </cell>
          <cell r="F40" t="str">
            <v>Hembra</v>
          </cell>
          <cell r="L40">
            <v>0.98</v>
          </cell>
          <cell r="M40" t="str">
            <v>No</v>
          </cell>
          <cell r="N40" t="str">
            <v>No</v>
          </cell>
          <cell r="P40" t="str">
            <v>Acidez estomacal</v>
          </cell>
        </row>
        <row r="41">
          <cell r="D41" t="str">
            <v>Felino</v>
          </cell>
          <cell r="E41" t="str">
            <v>Persa</v>
          </cell>
          <cell r="F41" t="str">
            <v>Macho</v>
          </cell>
          <cell r="I41" t="str">
            <v>Adulto (1-7 años)</v>
          </cell>
          <cell r="L41">
            <v>3.16</v>
          </cell>
          <cell r="M41" t="str">
            <v>Sí</v>
          </cell>
          <cell r="N41" t="str">
            <v>Sí</v>
          </cell>
        </row>
        <row r="42">
          <cell r="D42" t="str">
            <v>Felino</v>
          </cell>
          <cell r="E42" t="str">
            <v>S.R.D</v>
          </cell>
          <cell r="F42" t="str">
            <v>Macho</v>
          </cell>
          <cell r="I42" t="str">
            <v>Adulto (1-7 años)</v>
          </cell>
          <cell r="L42">
            <v>4.0999999999999996</v>
          </cell>
          <cell r="M42" t="str">
            <v>Sí</v>
          </cell>
          <cell r="N42" t="str">
            <v>Sí</v>
          </cell>
        </row>
        <row r="43">
          <cell r="D43" t="str">
            <v>Canino</v>
          </cell>
          <cell r="E43" t="str">
            <v>S.R.D</v>
          </cell>
          <cell r="F43" t="str">
            <v>Macho</v>
          </cell>
          <cell r="I43" t="str">
            <v>Adulto (1-7 años)</v>
          </cell>
          <cell r="L43">
            <v>11.17</v>
          </cell>
          <cell r="M43" t="str">
            <v>No</v>
          </cell>
          <cell r="N43" t="str">
            <v>No</v>
          </cell>
        </row>
        <row r="44">
          <cell r="D44" t="str">
            <v>Canino</v>
          </cell>
          <cell r="E44" t="str">
            <v>American Bull</v>
          </cell>
          <cell r="F44" t="str">
            <v>Macho</v>
          </cell>
          <cell r="I44" t="str">
            <v>Adulto (1-7 años)</v>
          </cell>
          <cell r="L44">
            <v>23.9</v>
          </cell>
          <cell r="M44" t="str">
            <v>No</v>
          </cell>
          <cell r="N44" t="str">
            <v>Sí</v>
          </cell>
        </row>
        <row r="45">
          <cell r="D45" t="str">
            <v>Felino</v>
          </cell>
          <cell r="E45" t="str">
            <v>S.R.D</v>
          </cell>
          <cell r="F45" t="str">
            <v>Macho</v>
          </cell>
          <cell r="I45" t="str">
            <v>Cachorro/Cría (0-6 meses)</v>
          </cell>
          <cell r="L45">
            <v>2.2000000000000002</v>
          </cell>
          <cell r="M45" t="str">
            <v>No</v>
          </cell>
          <cell r="N45" t="str">
            <v>No</v>
          </cell>
        </row>
        <row r="46">
          <cell r="D46" t="str">
            <v>Canino</v>
          </cell>
          <cell r="E46" t="str">
            <v>S.R.D</v>
          </cell>
          <cell r="F46" t="str">
            <v>Hembra</v>
          </cell>
          <cell r="I46" t="str">
            <v>Adulto (1-7 años)</v>
          </cell>
          <cell r="L46">
            <v>10</v>
          </cell>
          <cell r="M46" t="str">
            <v>Sí</v>
          </cell>
          <cell r="N46" t="str">
            <v>Sí</v>
          </cell>
        </row>
        <row r="47">
          <cell r="D47" t="str">
            <v>Canino</v>
          </cell>
          <cell r="E47" t="str">
            <v>S.R.D</v>
          </cell>
          <cell r="F47" t="str">
            <v>Macho</v>
          </cell>
          <cell r="I47" t="str">
            <v>Joven (6-12 meses)</v>
          </cell>
          <cell r="L47">
            <v>14.5</v>
          </cell>
          <cell r="M47" t="str">
            <v>No</v>
          </cell>
          <cell r="N47" t="str">
            <v>No</v>
          </cell>
        </row>
        <row r="48">
          <cell r="D48" t="str">
            <v>Canino</v>
          </cell>
          <cell r="E48" t="str">
            <v>Mastin español</v>
          </cell>
          <cell r="F48" t="str">
            <v>Macho</v>
          </cell>
          <cell r="I48" t="str">
            <v>Cachorro/Cría (0-6 meses)</v>
          </cell>
          <cell r="L48">
            <v>3.4</v>
          </cell>
          <cell r="M48" t="str">
            <v>No</v>
          </cell>
          <cell r="N48" t="str">
            <v>No</v>
          </cell>
          <cell r="P48" t="str">
            <v>Gastroenteritis</v>
          </cell>
        </row>
        <row r="49">
          <cell r="D49" t="str">
            <v>Felino</v>
          </cell>
          <cell r="E49" t="str">
            <v>S.R.D</v>
          </cell>
          <cell r="F49" t="str">
            <v>Macho</v>
          </cell>
          <cell r="I49" t="str">
            <v>Joven (6-12 meses)</v>
          </cell>
          <cell r="L49">
            <v>3.2</v>
          </cell>
          <cell r="M49" t="str">
            <v>No</v>
          </cell>
          <cell r="N49" t="str">
            <v>No</v>
          </cell>
        </row>
        <row r="50">
          <cell r="D50" t="str">
            <v>Felino</v>
          </cell>
          <cell r="E50" t="str">
            <v>S.R.D</v>
          </cell>
          <cell r="F50" t="str">
            <v>Hembra</v>
          </cell>
          <cell r="I50" t="str">
            <v>Cachorro/Cría (0-6 meses)</v>
          </cell>
          <cell r="L50">
            <v>3.35</v>
          </cell>
          <cell r="M50" t="str">
            <v>No</v>
          </cell>
          <cell r="N50" t="str">
            <v>No</v>
          </cell>
          <cell r="P50" t="str">
            <v>Traqueobronquitis</v>
          </cell>
        </row>
        <row r="51">
          <cell r="D51" t="str">
            <v>Canino</v>
          </cell>
          <cell r="E51" t="str">
            <v>S.R.D</v>
          </cell>
          <cell r="F51" t="str">
            <v>Macho</v>
          </cell>
          <cell r="I51" t="str">
            <v>Adulto (1-7 años)</v>
          </cell>
          <cell r="L51">
            <v>8.1999999999999993</v>
          </cell>
          <cell r="M51" t="str">
            <v>No</v>
          </cell>
          <cell r="N51" t="str">
            <v>Sí</v>
          </cell>
          <cell r="P51" t="str">
            <v>Infección respiratoria</v>
          </cell>
        </row>
        <row r="52">
          <cell r="D52" t="str">
            <v>Canino</v>
          </cell>
          <cell r="E52" t="str">
            <v>Shitzu</v>
          </cell>
          <cell r="F52" t="str">
            <v>Hembra</v>
          </cell>
          <cell r="I52" t="str">
            <v>Cachorro/Cría (0-6 meses)</v>
          </cell>
          <cell r="L52">
            <v>2.4</v>
          </cell>
          <cell r="M52" t="str">
            <v>No</v>
          </cell>
          <cell r="N52" t="str">
            <v>No</v>
          </cell>
        </row>
        <row r="53">
          <cell r="D53" t="str">
            <v>Canino</v>
          </cell>
          <cell r="E53" t="str">
            <v>Schnauzer</v>
          </cell>
          <cell r="F53" t="str">
            <v>Hembra</v>
          </cell>
          <cell r="I53" t="str">
            <v>Adulto (1-7 años)</v>
          </cell>
          <cell r="L53">
            <v>7.3</v>
          </cell>
          <cell r="M53" t="str">
            <v>No</v>
          </cell>
          <cell r="N53" t="str">
            <v>Sí</v>
          </cell>
        </row>
        <row r="54">
          <cell r="D54" t="str">
            <v>Canino</v>
          </cell>
          <cell r="E54" t="str">
            <v>S.R.D</v>
          </cell>
          <cell r="F54" t="str">
            <v>Hembra</v>
          </cell>
          <cell r="I54" t="str">
            <v>Adulto (1-7 años)</v>
          </cell>
          <cell r="L54">
            <v>11</v>
          </cell>
          <cell r="M54" t="str">
            <v>No</v>
          </cell>
          <cell r="N54" t="str">
            <v>No</v>
          </cell>
        </row>
        <row r="55">
          <cell r="D55" t="str">
            <v>Canino</v>
          </cell>
          <cell r="E55" t="str">
            <v>Chihuahua</v>
          </cell>
          <cell r="F55" t="str">
            <v>Hembra</v>
          </cell>
          <cell r="I55" t="str">
            <v>Cachorro/Cría (0-6 meses)</v>
          </cell>
          <cell r="L55">
            <v>1</v>
          </cell>
          <cell r="M55" t="str">
            <v>No</v>
          </cell>
          <cell r="N55" t="str">
            <v>Sí</v>
          </cell>
          <cell r="P55" t="str">
            <v>Gastroenteritis bacteriana</v>
          </cell>
        </row>
        <row r="56">
          <cell r="D56" t="str">
            <v>Canino</v>
          </cell>
          <cell r="E56" t="str">
            <v>S.R.D</v>
          </cell>
          <cell r="F56" t="str">
            <v>Hembra</v>
          </cell>
          <cell r="I56" t="str">
            <v>Adulto (1-7 años)</v>
          </cell>
          <cell r="L56">
            <v>7.7</v>
          </cell>
          <cell r="M56" t="str">
            <v>Sí</v>
          </cell>
          <cell r="N56" t="str">
            <v>Sí</v>
          </cell>
        </row>
        <row r="57">
          <cell r="D57" t="str">
            <v>Canino</v>
          </cell>
          <cell r="E57" t="str">
            <v>Pug carlino</v>
          </cell>
          <cell r="F57" t="str">
            <v>Hembra</v>
          </cell>
          <cell r="I57" t="str">
            <v>Joven (6-12 meses)</v>
          </cell>
          <cell r="L57">
            <v>9.6</v>
          </cell>
          <cell r="M57" t="str">
            <v>No</v>
          </cell>
          <cell r="N57" t="str">
            <v>No</v>
          </cell>
          <cell r="P57" t="str">
            <v>Proestro dia 3</v>
          </cell>
        </row>
        <row r="58">
          <cell r="D58" t="str">
            <v>Felino</v>
          </cell>
          <cell r="E58" t="str">
            <v>S.R.D</v>
          </cell>
          <cell r="F58" t="str">
            <v>Macho</v>
          </cell>
          <cell r="I58" t="str">
            <v>Adulto (1-7 años)</v>
          </cell>
          <cell r="L58">
            <v>3.8</v>
          </cell>
          <cell r="M58" t="str">
            <v>No</v>
          </cell>
          <cell r="N58" t="str">
            <v>No</v>
          </cell>
        </row>
        <row r="59">
          <cell r="D59" t="str">
            <v>Canino</v>
          </cell>
          <cell r="E59" t="str">
            <v>Cocker</v>
          </cell>
          <cell r="F59" t="str">
            <v>Hembra</v>
          </cell>
          <cell r="I59" t="str">
            <v>Adulto (1-7 años)</v>
          </cell>
          <cell r="M59" t="str">
            <v>No</v>
          </cell>
          <cell r="N59" t="str">
            <v>Sí</v>
          </cell>
        </row>
        <row r="60">
          <cell r="D60" t="str">
            <v>Canino</v>
          </cell>
          <cell r="E60" t="str">
            <v>Cocker</v>
          </cell>
          <cell r="F60" t="str">
            <v>Macho</v>
          </cell>
          <cell r="I60" t="str">
            <v>Cachorro/Cría (0-6 meses)</v>
          </cell>
          <cell r="L60">
            <v>1.6</v>
          </cell>
          <cell r="M60" t="str">
            <v>No</v>
          </cell>
          <cell r="N60" t="str">
            <v>No</v>
          </cell>
          <cell r="P60" t="str">
            <v>Parvovirus</v>
          </cell>
        </row>
        <row r="61">
          <cell r="D61" t="str">
            <v>Canino</v>
          </cell>
          <cell r="E61" t="str">
            <v>Chihuahua</v>
          </cell>
          <cell r="F61" t="str">
            <v>Hembra</v>
          </cell>
          <cell r="I61" t="str">
            <v>Cachorro/Cría (0-6 meses)</v>
          </cell>
          <cell r="M61" t="str">
            <v>No</v>
          </cell>
          <cell r="N61" t="str">
            <v>No</v>
          </cell>
        </row>
        <row r="62">
          <cell r="D62" t="str">
            <v>Felino</v>
          </cell>
          <cell r="E62" t="str">
            <v>Siamés</v>
          </cell>
          <cell r="F62" t="str">
            <v>Macho</v>
          </cell>
          <cell r="I62" t="str">
            <v>Joven (6-12 meses)</v>
          </cell>
          <cell r="L62">
            <v>2.9</v>
          </cell>
          <cell r="M62" t="str">
            <v>No</v>
          </cell>
          <cell r="N62" t="str">
            <v>Sí</v>
          </cell>
        </row>
        <row r="63">
          <cell r="D63" t="str">
            <v>Canino</v>
          </cell>
          <cell r="E63" t="str">
            <v>Schnauzer</v>
          </cell>
          <cell r="F63" t="str">
            <v>Macho</v>
          </cell>
          <cell r="I63" t="str">
            <v>Cachorro/Cría (0-6 meses)</v>
          </cell>
          <cell r="L63">
            <v>3.7</v>
          </cell>
          <cell r="M63" t="str">
            <v>No</v>
          </cell>
          <cell r="N63" t="str">
            <v>No</v>
          </cell>
        </row>
        <row r="64">
          <cell r="D64" t="str">
            <v>Canino</v>
          </cell>
          <cell r="E64" t="str">
            <v>Sharpei</v>
          </cell>
          <cell r="F64" t="str">
            <v>Hembra</v>
          </cell>
          <cell r="I64" t="str">
            <v>Cachorro/Cría (0-6 meses)</v>
          </cell>
          <cell r="L64">
            <v>12.8</v>
          </cell>
          <cell r="M64" t="str">
            <v>Sí</v>
          </cell>
          <cell r="N64" t="str">
            <v>No</v>
          </cell>
          <cell r="P64" t="str">
            <v>Escleritis unilateral</v>
          </cell>
        </row>
        <row r="65">
          <cell r="D65" t="str">
            <v>Felino</v>
          </cell>
          <cell r="E65" t="str">
            <v>S.R.D</v>
          </cell>
          <cell r="F65" t="str">
            <v>Macho</v>
          </cell>
          <cell r="I65" t="str">
            <v>Adulto (1-7 años)</v>
          </cell>
          <cell r="M65" t="str">
            <v>Sí</v>
          </cell>
          <cell r="N65" t="str">
            <v>No</v>
          </cell>
          <cell r="P65" t="str">
            <v>Herida lateral</v>
          </cell>
        </row>
        <row r="66">
          <cell r="D66" t="str">
            <v>Felino</v>
          </cell>
          <cell r="E66" t="str">
            <v>S.R.D</v>
          </cell>
          <cell r="F66" t="str">
            <v>Macho</v>
          </cell>
          <cell r="I66" t="str">
            <v>Adulto (1-7 años)</v>
          </cell>
          <cell r="L66">
            <v>2.2000000000000002</v>
          </cell>
          <cell r="M66" t="str">
            <v>No</v>
          </cell>
          <cell r="N66" t="str">
            <v>No</v>
          </cell>
        </row>
        <row r="67">
          <cell r="D67" t="str">
            <v>Canino</v>
          </cell>
          <cell r="E67" t="str">
            <v>S.R.D</v>
          </cell>
          <cell r="F67" t="str">
            <v>Hembra</v>
          </cell>
          <cell r="I67" t="str">
            <v>Adulto (1-7 años)</v>
          </cell>
          <cell r="L67">
            <v>6</v>
          </cell>
          <cell r="M67" t="str">
            <v>No</v>
          </cell>
          <cell r="N67" t="str">
            <v>Sí</v>
          </cell>
        </row>
        <row r="68">
          <cell r="D68" t="str">
            <v>Canino</v>
          </cell>
          <cell r="E68" t="str">
            <v>Pastor aleman</v>
          </cell>
          <cell r="F68" t="str">
            <v>Hembra</v>
          </cell>
          <cell r="I68" t="str">
            <v>Cachorro/Cría (0-6 meses)</v>
          </cell>
          <cell r="L68">
            <v>6.5</v>
          </cell>
          <cell r="M68" t="str">
            <v>No</v>
          </cell>
          <cell r="N68" t="str">
            <v>Sí</v>
          </cell>
        </row>
        <row r="69">
          <cell r="D69" t="str">
            <v>Canino</v>
          </cell>
          <cell r="E69" t="str">
            <v>S.R.D</v>
          </cell>
          <cell r="F69" t="str">
            <v>Macho</v>
          </cell>
          <cell r="I69" t="str">
            <v>Adulto (1-7 años)</v>
          </cell>
          <cell r="L69">
            <v>14.4</v>
          </cell>
          <cell r="M69" t="str">
            <v>No</v>
          </cell>
          <cell r="N69" t="str">
            <v>Sí</v>
          </cell>
        </row>
        <row r="70">
          <cell r="D70" t="str">
            <v>Felino</v>
          </cell>
          <cell r="E70" t="str">
            <v>S.R.D</v>
          </cell>
          <cell r="F70" t="str">
            <v>Macho</v>
          </cell>
          <cell r="I70" t="str">
            <v>Adulto (1-7 años)</v>
          </cell>
          <cell r="L70">
            <v>5.2</v>
          </cell>
          <cell r="M70" t="str">
            <v>Sí</v>
          </cell>
          <cell r="N70" t="str">
            <v>Sí</v>
          </cell>
          <cell r="P70" t="str">
            <v>Colecistitis</v>
          </cell>
        </row>
        <row r="71">
          <cell r="D71" t="str">
            <v>Felino</v>
          </cell>
          <cell r="E71" t="str">
            <v>S.R.D</v>
          </cell>
          <cell r="F71" t="str">
            <v>Macho</v>
          </cell>
          <cell r="I71" t="str">
            <v>Adulto (1-7 años)</v>
          </cell>
          <cell r="L71">
            <v>3.5</v>
          </cell>
          <cell r="M71" t="str">
            <v>No</v>
          </cell>
          <cell r="N71" t="str">
            <v>No</v>
          </cell>
          <cell r="P71" t="str">
            <v>Gingivitis</v>
          </cell>
        </row>
        <row r="72">
          <cell r="D72" t="str">
            <v>Canino</v>
          </cell>
          <cell r="E72" t="str">
            <v>S.R.D</v>
          </cell>
          <cell r="F72" t="str">
            <v>Macho</v>
          </cell>
          <cell r="I72" t="str">
            <v>Cachorro/Cría (0-6 meses)</v>
          </cell>
          <cell r="M72" t="str">
            <v>No</v>
          </cell>
          <cell r="N72" t="str">
            <v>No</v>
          </cell>
        </row>
        <row r="73">
          <cell r="D73" t="str">
            <v>Canino</v>
          </cell>
          <cell r="E73" t="str">
            <v>S.R.D</v>
          </cell>
          <cell r="F73" t="str">
            <v>Macho</v>
          </cell>
          <cell r="I73" t="str">
            <v>Adulto (1-7 años)</v>
          </cell>
          <cell r="M73" t="str">
            <v>Sí</v>
          </cell>
          <cell r="N73" t="str">
            <v>Sí</v>
          </cell>
        </row>
        <row r="74">
          <cell r="D74" t="str">
            <v>Canino</v>
          </cell>
          <cell r="E74" t="str">
            <v xml:space="preserve">Husky   </v>
          </cell>
          <cell r="F74" t="str">
            <v>Hembra</v>
          </cell>
          <cell r="I74" t="str">
            <v>Joven (6-12 meses)</v>
          </cell>
          <cell r="M74" t="str">
            <v>No</v>
          </cell>
          <cell r="N74" t="str">
            <v>No</v>
          </cell>
          <cell r="P74" t="str">
            <v>Traqueobronquitis</v>
          </cell>
        </row>
        <row r="75">
          <cell r="D75" t="str">
            <v>Felino</v>
          </cell>
          <cell r="E75" t="str">
            <v>S.R.D</v>
          </cell>
          <cell r="F75" t="str">
            <v>Macho</v>
          </cell>
          <cell r="I75" t="str">
            <v>Adulto (1-7 años)</v>
          </cell>
          <cell r="L75">
            <v>3.2</v>
          </cell>
          <cell r="M75" t="str">
            <v>Sí</v>
          </cell>
          <cell r="N75" t="str">
            <v>Sí</v>
          </cell>
        </row>
        <row r="76">
          <cell r="D76" t="str">
            <v>Felino</v>
          </cell>
          <cell r="E76" t="str">
            <v>S.R.D</v>
          </cell>
          <cell r="F76" t="str">
            <v>Macho</v>
          </cell>
          <cell r="I76" t="str">
            <v>Joven (6-12 meses)</v>
          </cell>
          <cell r="L76">
            <v>3.1</v>
          </cell>
          <cell r="M76" t="str">
            <v>Sí</v>
          </cell>
          <cell r="N76" t="str">
            <v>Sí</v>
          </cell>
          <cell r="P76" t="str">
            <v>Panleucopenia felina</v>
          </cell>
        </row>
        <row r="77">
          <cell r="D77" t="str">
            <v>Felino</v>
          </cell>
          <cell r="E77" t="str">
            <v>S.R.D</v>
          </cell>
          <cell r="F77" t="str">
            <v>Macho</v>
          </cell>
          <cell r="I77" t="str">
            <v>Adulto (1-7 años)</v>
          </cell>
          <cell r="L77">
            <v>4.2</v>
          </cell>
          <cell r="M77" t="str">
            <v>No</v>
          </cell>
          <cell r="N77" t="str">
            <v>No</v>
          </cell>
        </row>
        <row r="78">
          <cell r="D78" t="str">
            <v>Felino</v>
          </cell>
          <cell r="E78" t="str">
            <v>S.R.D</v>
          </cell>
          <cell r="F78" t="str">
            <v>Macho</v>
          </cell>
          <cell r="I78" t="str">
            <v>Joven (6-12 meses)</v>
          </cell>
          <cell r="L78">
            <v>3.355</v>
          </cell>
          <cell r="M78" t="str">
            <v>No</v>
          </cell>
          <cell r="N78" t="str">
            <v>No</v>
          </cell>
        </row>
        <row r="79">
          <cell r="D79" t="str">
            <v>Canino</v>
          </cell>
          <cell r="E79" t="str">
            <v>S.R.D</v>
          </cell>
          <cell r="F79" t="str">
            <v>Hembra</v>
          </cell>
          <cell r="I79" t="str">
            <v>Cachorro/Cría (0-6 meses)</v>
          </cell>
          <cell r="L79">
            <v>8.3000000000000007</v>
          </cell>
          <cell r="M79" t="str">
            <v>No</v>
          </cell>
          <cell r="N79" t="str">
            <v>No</v>
          </cell>
          <cell r="P79" t="str">
            <v>Inflamación general</v>
          </cell>
        </row>
        <row r="80">
          <cell r="D80" t="str">
            <v>Canino</v>
          </cell>
          <cell r="E80" t="str">
            <v>Pequines Albino</v>
          </cell>
          <cell r="F80" t="str">
            <v>Macho</v>
          </cell>
          <cell r="I80" t="str">
            <v>Joven (6-12 meses)</v>
          </cell>
          <cell r="M80" t="str">
            <v>No</v>
          </cell>
          <cell r="N80" t="str">
            <v>Sí</v>
          </cell>
        </row>
        <row r="81">
          <cell r="D81" t="str">
            <v>Felino</v>
          </cell>
          <cell r="E81" t="str">
            <v>S.R.D</v>
          </cell>
          <cell r="F81" t="str">
            <v>Hembra</v>
          </cell>
          <cell r="I81" t="str">
            <v>Cachorro/Cría (0-6 meses)</v>
          </cell>
          <cell r="L81">
            <v>1.6</v>
          </cell>
          <cell r="M81" t="str">
            <v>No</v>
          </cell>
          <cell r="N81" t="str">
            <v>No</v>
          </cell>
          <cell r="P81" t="str">
            <v>Traqueobronquitis</v>
          </cell>
        </row>
        <row r="82">
          <cell r="D82" t="str">
            <v>Felino</v>
          </cell>
          <cell r="E82" t="str">
            <v>S.R.D</v>
          </cell>
          <cell r="F82" t="str">
            <v>Hembra</v>
          </cell>
          <cell r="I82" t="str">
            <v>Adulto (1-7 años)</v>
          </cell>
          <cell r="M82" t="str">
            <v>No</v>
          </cell>
          <cell r="N82" t="str">
            <v>No</v>
          </cell>
        </row>
        <row r="83">
          <cell r="D83" t="str">
            <v>Canino</v>
          </cell>
          <cell r="E83" t="str">
            <v>S.R.D</v>
          </cell>
          <cell r="F83" t="str">
            <v>Hembra</v>
          </cell>
          <cell r="I83" t="str">
            <v>Cachorro/Cría (0-6 meses)</v>
          </cell>
          <cell r="L83">
            <v>2.7</v>
          </cell>
          <cell r="M83" t="str">
            <v>No</v>
          </cell>
          <cell r="N83" t="str">
            <v>Sí</v>
          </cell>
        </row>
        <row r="84">
          <cell r="D84" t="str">
            <v>Canino</v>
          </cell>
          <cell r="E84" t="str">
            <v>Schnauzer</v>
          </cell>
          <cell r="F84" t="str">
            <v>Hembra</v>
          </cell>
          <cell r="I84" t="str">
            <v>Adulto (1-7 años)</v>
          </cell>
          <cell r="L84">
            <v>4.8</v>
          </cell>
          <cell r="M84" t="str">
            <v>No</v>
          </cell>
          <cell r="N84" t="str">
            <v>Sí</v>
          </cell>
          <cell r="P84" t="str">
            <v>Daño hepatico</v>
          </cell>
        </row>
        <row r="85">
          <cell r="D85" t="str">
            <v>Canino</v>
          </cell>
          <cell r="E85" t="str">
            <v>Bóxer</v>
          </cell>
          <cell r="F85" t="str">
            <v>Hembra</v>
          </cell>
          <cell r="I85" t="str">
            <v>Senior (7+ años)</v>
          </cell>
          <cell r="M85" t="str">
            <v>No</v>
          </cell>
          <cell r="N85" t="str">
            <v>No</v>
          </cell>
          <cell r="P85" t="str">
            <v>Traqueobronquitis</v>
          </cell>
        </row>
        <row r="86">
          <cell r="D86" t="str">
            <v>Canino</v>
          </cell>
          <cell r="E86" t="str">
            <v>Basset hound</v>
          </cell>
          <cell r="F86" t="str">
            <v>Macho</v>
          </cell>
          <cell r="I86" t="str">
            <v>Cachorro/Cría (0-6 meses)</v>
          </cell>
          <cell r="M86" t="str">
            <v>No</v>
          </cell>
          <cell r="N86" t="str">
            <v>No</v>
          </cell>
        </row>
        <row r="87">
          <cell r="D87" t="str">
            <v>Canino</v>
          </cell>
          <cell r="E87" t="str">
            <v>S.R.D</v>
          </cell>
          <cell r="F87" t="str">
            <v>Macho</v>
          </cell>
          <cell r="I87" t="str">
            <v>Adulto (1-7 años)</v>
          </cell>
          <cell r="L87">
            <v>8.5</v>
          </cell>
          <cell r="M87" t="str">
            <v>No</v>
          </cell>
          <cell r="N87" t="str">
            <v>No</v>
          </cell>
          <cell r="P87" t="str">
            <v>R. tunica peniana</v>
          </cell>
        </row>
        <row r="88">
          <cell r="D88" t="str">
            <v>Canino</v>
          </cell>
          <cell r="E88" t="str">
            <v>S.R.D</v>
          </cell>
          <cell r="F88" t="str">
            <v>Hembra</v>
          </cell>
          <cell r="I88" t="str">
            <v>Senior (7+ años)</v>
          </cell>
          <cell r="L88">
            <v>7.1</v>
          </cell>
          <cell r="M88" t="str">
            <v>Sí</v>
          </cell>
          <cell r="N88" t="str">
            <v>No</v>
          </cell>
          <cell r="P88" t="str">
            <v>Tumor mamario</v>
          </cell>
        </row>
        <row r="89">
          <cell r="D89" t="str">
            <v>Felino</v>
          </cell>
          <cell r="E89" t="str">
            <v>S.R.D</v>
          </cell>
          <cell r="F89" t="str">
            <v>Hembra</v>
          </cell>
          <cell r="I89" t="str">
            <v>Joven (6-12 meses)</v>
          </cell>
          <cell r="M89" t="str">
            <v>Sí</v>
          </cell>
          <cell r="N89" t="str">
            <v>No</v>
          </cell>
          <cell r="P89" t="str">
            <v>Infección viral respiratoria felina</v>
          </cell>
        </row>
        <row r="90">
          <cell r="D90" t="str">
            <v>Canino</v>
          </cell>
          <cell r="E90" t="str">
            <v>S.R.D</v>
          </cell>
          <cell r="F90" t="str">
            <v>Hembra</v>
          </cell>
          <cell r="I90" t="str">
            <v>Adulto (1-7 años)</v>
          </cell>
          <cell r="L90">
            <v>12</v>
          </cell>
          <cell r="M90" t="str">
            <v>Sí</v>
          </cell>
          <cell r="N90" t="str">
            <v>No</v>
          </cell>
        </row>
        <row r="91">
          <cell r="D91" t="str">
            <v>Canino</v>
          </cell>
          <cell r="E91" t="str">
            <v>S.R.D</v>
          </cell>
          <cell r="F91" t="str">
            <v>Hembra</v>
          </cell>
          <cell r="I91" t="str">
            <v>Adulto (1-7 años)</v>
          </cell>
          <cell r="M91" t="str">
            <v>No</v>
          </cell>
          <cell r="N91" t="str">
            <v>Sí</v>
          </cell>
        </row>
        <row r="92">
          <cell r="D92" t="str">
            <v>Canino</v>
          </cell>
          <cell r="E92" t="str">
            <v>S.R.D</v>
          </cell>
          <cell r="F92" t="str">
            <v>Hembra</v>
          </cell>
          <cell r="I92" t="str">
            <v>Cachorro/Cría (0-6 meses)</v>
          </cell>
          <cell r="L92">
            <v>1.5</v>
          </cell>
          <cell r="M92" t="str">
            <v>No</v>
          </cell>
          <cell r="N92" t="str">
            <v>No</v>
          </cell>
        </row>
        <row r="93">
          <cell r="D93" t="str">
            <v>Canino</v>
          </cell>
          <cell r="E93" t="str">
            <v>S.R.D</v>
          </cell>
          <cell r="F93" t="str">
            <v>Hembra</v>
          </cell>
          <cell r="I93" t="str">
            <v>Cachorro/Cría (0-6 meses)</v>
          </cell>
          <cell r="M93" t="str">
            <v>No</v>
          </cell>
          <cell r="N93" t="str">
            <v>No</v>
          </cell>
        </row>
        <row r="94">
          <cell r="D94" t="str">
            <v>Canino</v>
          </cell>
          <cell r="E94" t="str">
            <v>S.R.D</v>
          </cell>
          <cell r="F94" t="str">
            <v>Hembra</v>
          </cell>
          <cell r="I94" t="str">
            <v>Adulto (1-7 años)</v>
          </cell>
          <cell r="L94">
            <v>7.5</v>
          </cell>
          <cell r="M94" t="str">
            <v>No</v>
          </cell>
          <cell r="N94" t="str">
            <v>Sí</v>
          </cell>
        </row>
        <row r="95">
          <cell r="D95" t="str">
            <v>Canino</v>
          </cell>
          <cell r="E95" t="str">
            <v>Shitzu</v>
          </cell>
          <cell r="F95" t="str">
            <v>Macho</v>
          </cell>
          <cell r="I95" t="str">
            <v>Cachorro/Cría (0-6 meses)</v>
          </cell>
          <cell r="L95">
            <v>2.6</v>
          </cell>
          <cell r="M95" t="str">
            <v>No</v>
          </cell>
          <cell r="N95" t="str">
            <v>Sí</v>
          </cell>
        </row>
        <row r="96">
          <cell r="D96" t="str">
            <v>Canino</v>
          </cell>
          <cell r="E96" t="str">
            <v>S.R.D</v>
          </cell>
          <cell r="F96" t="str">
            <v>Hembra</v>
          </cell>
          <cell r="I96" t="str">
            <v>Joven (6-12 meses)</v>
          </cell>
          <cell r="L96">
            <v>4.5</v>
          </cell>
          <cell r="M96" t="str">
            <v>No</v>
          </cell>
          <cell r="N96" t="str">
            <v>No</v>
          </cell>
        </row>
        <row r="97">
          <cell r="D97" t="str">
            <v>Canino</v>
          </cell>
          <cell r="E97" t="str">
            <v>S.R.D</v>
          </cell>
          <cell r="F97" t="str">
            <v>Macho</v>
          </cell>
          <cell r="I97" t="str">
            <v>Cachorro/Cría (0-6 meses)</v>
          </cell>
          <cell r="L97">
            <v>7</v>
          </cell>
          <cell r="M97" t="str">
            <v>No</v>
          </cell>
          <cell r="N97" t="str">
            <v>Sí</v>
          </cell>
        </row>
        <row r="98">
          <cell r="D98" t="str">
            <v>Felino</v>
          </cell>
          <cell r="E98" t="str">
            <v>S.R.D</v>
          </cell>
          <cell r="F98" t="str">
            <v>Hembra</v>
          </cell>
          <cell r="I98" t="str">
            <v>Cachorro/Cría (0-6 meses)</v>
          </cell>
          <cell r="L98">
            <v>1.6</v>
          </cell>
          <cell r="M98" t="str">
            <v>No</v>
          </cell>
          <cell r="N98" t="str">
            <v>No</v>
          </cell>
          <cell r="P98" t="str">
            <v>Gastroenteritis</v>
          </cell>
        </row>
        <row r="99">
          <cell r="D99" t="str">
            <v>Canino</v>
          </cell>
          <cell r="E99" t="str">
            <v>S.R.D</v>
          </cell>
          <cell r="F99" t="str">
            <v>Hembra</v>
          </cell>
          <cell r="I99" t="str">
            <v>Adulto (1-7 años)</v>
          </cell>
          <cell r="L99">
            <v>7.9249999999999998</v>
          </cell>
          <cell r="M99" t="str">
            <v>Sí</v>
          </cell>
          <cell r="N99" t="str">
            <v>Sí</v>
          </cell>
        </row>
        <row r="100">
          <cell r="D100" t="str">
            <v>Canino</v>
          </cell>
          <cell r="E100" t="str">
            <v xml:space="preserve">Husky </v>
          </cell>
          <cell r="F100" t="str">
            <v>Hembra</v>
          </cell>
          <cell r="I100" t="str">
            <v>Cachorro/Cría (0-6 meses)</v>
          </cell>
          <cell r="L100">
            <v>4.7</v>
          </cell>
          <cell r="M100" t="str">
            <v>No</v>
          </cell>
          <cell r="N100" t="str">
            <v>Sí</v>
          </cell>
          <cell r="P100" t="str">
            <v>Gastroenteritis hemorragica</v>
          </cell>
        </row>
        <row r="101">
          <cell r="D101" t="str">
            <v>Canino</v>
          </cell>
          <cell r="E101" t="str">
            <v>S.R.D</v>
          </cell>
          <cell r="F101" t="str">
            <v>Macho</v>
          </cell>
          <cell r="I101" t="str">
            <v>Cachorro/Cría (0-6 meses)</v>
          </cell>
          <cell r="M101" t="str">
            <v>No</v>
          </cell>
          <cell r="N101" t="str">
            <v>No</v>
          </cell>
          <cell r="P101" t="str">
            <v>Traqueobronquitis</v>
          </cell>
        </row>
      </sheetData>
      <sheetData sheetId="4"/>
      <sheetData sheetId="5">
        <row r="2">
          <cell r="A2" t="str">
            <v>Enero</v>
          </cell>
          <cell r="D2" t="str">
            <v>Ingreso</v>
          </cell>
          <cell r="F2" t="str">
            <v>Producto</v>
          </cell>
          <cell r="H2">
            <v>15</v>
          </cell>
          <cell r="I2" t="str">
            <v>Efectivo</v>
          </cell>
        </row>
        <row r="3">
          <cell r="A3" t="str">
            <v>Enero</v>
          </cell>
          <cell r="D3" t="str">
            <v>Egreso</v>
          </cell>
          <cell r="H3">
            <v>22.5</v>
          </cell>
          <cell r="I3" t="str">
            <v>Efectivo</v>
          </cell>
        </row>
        <row r="4">
          <cell r="A4" t="str">
            <v>Enero</v>
          </cell>
          <cell r="D4" t="str">
            <v>Ingreso</v>
          </cell>
          <cell r="F4" t="str">
            <v>Producto</v>
          </cell>
          <cell r="H4">
            <v>5</v>
          </cell>
          <cell r="I4" t="str">
            <v>Efectivo</v>
          </cell>
        </row>
        <row r="5">
          <cell r="A5" t="str">
            <v>Enero</v>
          </cell>
          <cell r="D5" t="str">
            <v>Ingreso</v>
          </cell>
          <cell r="F5" t="str">
            <v>Servicio</v>
          </cell>
          <cell r="G5" t="str">
            <v>Inyectable</v>
          </cell>
          <cell r="H5">
            <v>20</v>
          </cell>
          <cell r="I5" t="str">
            <v>Efectivo</v>
          </cell>
        </row>
        <row r="6">
          <cell r="A6" t="str">
            <v>Enero</v>
          </cell>
          <cell r="D6" t="str">
            <v>Ingreso</v>
          </cell>
          <cell r="F6" t="str">
            <v>Producto</v>
          </cell>
          <cell r="H6">
            <v>60</v>
          </cell>
          <cell r="I6" t="str">
            <v>Yape</v>
          </cell>
        </row>
        <row r="7">
          <cell r="A7" t="str">
            <v>Enero</v>
          </cell>
          <cell r="D7" t="str">
            <v>Ingreso</v>
          </cell>
          <cell r="F7" t="str">
            <v>Producto</v>
          </cell>
          <cell r="H7">
            <v>13</v>
          </cell>
          <cell r="I7" t="str">
            <v>Efectivo</v>
          </cell>
        </row>
        <row r="8">
          <cell r="A8" t="str">
            <v>Enero</v>
          </cell>
          <cell r="D8" t="str">
            <v>Ingreso</v>
          </cell>
          <cell r="F8" t="str">
            <v>Servicio</v>
          </cell>
          <cell r="G8" t="str">
            <v>Baño y Corte</v>
          </cell>
          <cell r="H8">
            <v>80</v>
          </cell>
          <cell r="I8" t="str">
            <v>Yape</v>
          </cell>
        </row>
        <row r="9">
          <cell r="A9" t="str">
            <v>Enero</v>
          </cell>
          <cell r="D9" t="str">
            <v>Ingreso</v>
          </cell>
          <cell r="F9" t="str">
            <v>Producto</v>
          </cell>
          <cell r="H9">
            <v>50</v>
          </cell>
          <cell r="I9" t="str">
            <v>Efectivo</v>
          </cell>
        </row>
        <row r="10">
          <cell r="A10" t="str">
            <v>Enero</v>
          </cell>
          <cell r="D10" t="str">
            <v>Ingreso</v>
          </cell>
          <cell r="F10" t="str">
            <v>Servicio</v>
          </cell>
          <cell r="G10" t="str">
            <v>Tratamiento</v>
          </cell>
          <cell r="H10">
            <v>45</v>
          </cell>
          <cell r="I10" t="str">
            <v>Efectivo</v>
          </cell>
        </row>
        <row r="11">
          <cell r="A11" t="str">
            <v>Enero</v>
          </cell>
          <cell r="D11" t="str">
            <v>Egreso</v>
          </cell>
          <cell r="H11">
            <v>5</v>
          </cell>
          <cell r="I11" t="str">
            <v>Efectivo</v>
          </cell>
        </row>
        <row r="12">
          <cell r="A12" t="str">
            <v>Enero</v>
          </cell>
          <cell r="D12" t="str">
            <v>Ingreso</v>
          </cell>
          <cell r="F12" t="str">
            <v>Producto</v>
          </cell>
          <cell r="H12">
            <v>9</v>
          </cell>
          <cell r="I12" t="str">
            <v>Efectivo</v>
          </cell>
        </row>
        <row r="13">
          <cell r="A13" t="str">
            <v>Enero</v>
          </cell>
          <cell r="D13" t="str">
            <v>Ingreso</v>
          </cell>
          <cell r="F13" t="str">
            <v>Producto</v>
          </cell>
          <cell r="H13">
            <v>34</v>
          </cell>
          <cell r="I13" t="str">
            <v>Yape</v>
          </cell>
        </row>
        <row r="14">
          <cell r="A14" t="str">
            <v>Enero</v>
          </cell>
          <cell r="D14" t="str">
            <v>Ingreso</v>
          </cell>
          <cell r="F14" t="str">
            <v>Servicio</v>
          </cell>
          <cell r="G14" t="str">
            <v>Baño</v>
          </cell>
          <cell r="H14">
            <v>25</v>
          </cell>
          <cell r="I14" t="str">
            <v>Efectivo</v>
          </cell>
        </row>
        <row r="15">
          <cell r="A15" t="str">
            <v>Enero</v>
          </cell>
          <cell r="D15" t="str">
            <v>Ingreso</v>
          </cell>
          <cell r="F15" t="str">
            <v>Producto</v>
          </cell>
          <cell r="H15">
            <v>10</v>
          </cell>
          <cell r="I15" t="str">
            <v>Efectivo</v>
          </cell>
        </row>
        <row r="16">
          <cell r="A16" t="str">
            <v>Enero</v>
          </cell>
          <cell r="D16" t="str">
            <v>Ingreso</v>
          </cell>
          <cell r="F16" t="str">
            <v>Servicio</v>
          </cell>
          <cell r="G16" t="str">
            <v>Baño</v>
          </cell>
          <cell r="H16">
            <v>25</v>
          </cell>
          <cell r="I16" t="str">
            <v>Efectivo</v>
          </cell>
        </row>
        <row r="17">
          <cell r="A17" t="str">
            <v>Enero</v>
          </cell>
          <cell r="D17" t="str">
            <v>Ingreso</v>
          </cell>
          <cell r="F17" t="str">
            <v>Producto</v>
          </cell>
          <cell r="H17">
            <v>20</v>
          </cell>
          <cell r="I17" t="str">
            <v>Efectivo</v>
          </cell>
        </row>
        <row r="18">
          <cell r="A18" t="str">
            <v>Enero</v>
          </cell>
          <cell r="D18" t="str">
            <v>Ingreso</v>
          </cell>
          <cell r="F18" t="str">
            <v>Producto</v>
          </cell>
          <cell r="H18">
            <v>20</v>
          </cell>
          <cell r="I18" t="str">
            <v>Efectivo</v>
          </cell>
        </row>
        <row r="19">
          <cell r="A19" t="str">
            <v>Enero</v>
          </cell>
          <cell r="D19" t="str">
            <v>Ingreso</v>
          </cell>
          <cell r="F19" t="str">
            <v>Producto</v>
          </cell>
          <cell r="H19">
            <v>5</v>
          </cell>
          <cell r="I19" t="str">
            <v>Efectivo</v>
          </cell>
        </row>
        <row r="20">
          <cell r="A20" t="str">
            <v>Enero</v>
          </cell>
          <cell r="D20" t="str">
            <v>Ingreso</v>
          </cell>
          <cell r="F20" t="str">
            <v>Producto</v>
          </cell>
          <cell r="H20">
            <v>18</v>
          </cell>
          <cell r="I20" t="str">
            <v>Efectivo</v>
          </cell>
        </row>
        <row r="21">
          <cell r="A21" t="str">
            <v>Enero</v>
          </cell>
          <cell r="D21" t="str">
            <v>Ingreso</v>
          </cell>
          <cell r="F21" t="str">
            <v>Producto</v>
          </cell>
          <cell r="H21">
            <v>18</v>
          </cell>
          <cell r="I21" t="str">
            <v>Efectivo</v>
          </cell>
        </row>
        <row r="22">
          <cell r="A22" t="str">
            <v>Enero</v>
          </cell>
          <cell r="D22" t="str">
            <v>Ingreso</v>
          </cell>
          <cell r="F22" t="str">
            <v>Producto</v>
          </cell>
          <cell r="H22">
            <v>118</v>
          </cell>
          <cell r="I22" t="str">
            <v>Efectivo</v>
          </cell>
        </row>
        <row r="23">
          <cell r="A23" t="str">
            <v>Febrero</v>
          </cell>
          <cell r="D23" t="str">
            <v>Ingreso</v>
          </cell>
          <cell r="F23" t="str">
            <v>Producto</v>
          </cell>
          <cell r="H23">
            <v>11</v>
          </cell>
          <cell r="I23" t="str">
            <v>Efectivo</v>
          </cell>
        </row>
        <row r="24">
          <cell r="A24" t="str">
            <v>Febrero</v>
          </cell>
          <cell r="D24" t="str">
            <v>Ingreso</v>
          </cell>
          <cell r="F24" t="str">
            <v>Producto</v>
          </cell>
          <cell r="H24">
            <v>25</v>
          </cell>
          <cell r="I24" t="str">
            <v>Efectivo</v>
          </cell>
        </row>
        <row r="25">
          <cell r="A25" t="str">
            <v>Febrero</v>
          </cell>
          <cell r="D25" t="str">
            <v>Ingreso</v>
          </cell>
          <cell r="F25" t="str">
            <v>Producto</v>
          </cell>
          <cell r="H25">
            <v>10</v>
          </cell>
          <cell r="I25" t="str">
            <v>Efectivo</v>
          </cell>
        </row>
        <row r="26">
          <cell r="A26" t="str">
            <v>Febrero</v>
          </cell>
          <cell r="D26" t="str">
            <v>Ingreso</v>
          </cell>
          <cell r="F26" t="str">
            <v>Producto</v>
          </cell>
          <cell r="H26">
            <v>8</v>
          </cell>
          <cell r="I26" t="str">
            <v>Efectivo</v>
          </cell>
        </row>
        <row r="27">
          <cell r="A27" t="str">
            <v>Febrero</v>
          </cell>
          <cell r="D27" t="str">
            <v>Ingreso</v>
          </cell>
          <cell r="F27" t="str">
            <v>Producto</v>
          </cell>
          <cell r="H27">
            <v>5</v>
          </cell>
          <cell r="I27" t="str">
            <v>Efectivo</v>
          </cell>
        </row>
        <row r="28">
          <cell r="A28" t="str">
            <v>Febrero</v>
          </cell>
          <cell r="D28" t="str">
            <v>Ingreso</v>
          </cell>
          <cell r="F28" t="str">
            <v>Producto</v>
          </cell>
          <cell r="H28">
            <v>4.5</v>
          </cell>
          <cell r="I28" t="str">
            <v>Efectivo</v>
          </cell>
        </row>
        <row r="29">
          <cell r="A29" t="str">
            <v>Febrero</v>
          </cell>
          <cell r="D29" t="str">
            <v>Ingreso</v>
          </cell>
          <cell r="F29" t="str">
            <v>Producto</v>
          </cell>
          <cell r="H29">
            <v>10</v>
          </cell>
          <cell r="I29" t="str">
            <v>Efectivo</v>
          </cell>
        </row>
        <row r="30">
          <cell r="A30" t="str">
            <v>Febrero</v>
          </cell>
          <cell r="D30" t="str">
            <v>Ingreso</v>
          </cell>
          <cell r="F30" t="str">
            <v>Servicio</v>
          </cell>
          <cell r="G30" t="str">
            <v>Tratamiento</v>
          </cell>
          <cell r="H30">
            <v>35</v>
          </cell>
          <cell r="I30" t="str">
            <v>Efectivo</v>
          </cell>
        </row>
        <row r="31">
          <cell r="A31" t="str">
            <v>Febrero</v>
          </cell>
          <cell r="D31" t="str">
            <v>Ingreso</v>
          </cell>
          <cell r="F31" t="str">
            <v>Servicio</v>
          </cell>
          <cell r="G31" t="str">
            <v>Baño y Corte</v>
          </cell>
          <cell r="H31">
            <v>50</v>
          </cell>
          <cell r="I31" t="str">
            <v>Yape</v>
          </cell>
        </row>
        <row r="32">
          <cell r="A32" t="str">
            <v>Febrero</v>
          </cell>
          <cell r="D32" t="str">
            <v>Ingreso</v>
          </cell>
          <cell r="F32" t="str">
            <v>Producto</v>
          </cell>
          <cell r="H32">
            <v>5</v>
          </cell>
          <cell r="I32" t="str">
            <v>Efectivo</v>
          </cell>
        </row>
        <row r="33">
          <cell r="A33" t="str">
            <v>Febrero</v>
          </cell>
          <cell r="D33" t="str">
            <v>Ingreso</v>
          </cell>
          <cell r="F33" t="str">
            <v>Producto</v>
          </cell>
          <cell r="H33">
            <v>25</v>
          </cell>
          <cell r="I33" t="str">
            <v>Efectivo</v>
          </cell>
        </row>
        <row r="34">
          <cell r="A34" t="str">
            <v>Febrero</v>
          </cell>
          <cell r="D34" t="str">
            <v>Ingreso</v>
          </cell>
          <cell r="F34" t="str">
            <v>Producto</v>
          </cell>
          <cell r="H34">
            <v>10</v>
          </cell>
          <cell r="I34" t="str">
            <v>Efectivo</v>
          </cell>
        </row>
        <row r="35">
          <cell r="A35" t="str">
            <v>Febrero</v>
          </cell>
          <cell r="D35" t="str">
            <v>Ingreso</v>
          </cell>
          <cell r="F35" t="str">
            <v>Servicio</v>
          </cell>
          <cell r="G35" t="str">
            <v>Inyectable</v>
          </cell>
          <cell r="H35">
            <v>15</v>
          </cell>
          <cell r="I35" t="str">
            <v>Efectivo</v>
          </cell>
        </row>
        <row r="36">
          <cell r="A36" t="str">
            <v>Febrero</v>
          </cell>
          <cell r="D36" t="str">
            <v>Ingreso</v>
          </cell>
          <cell r="F36" t="str">
            <v>Producto</v>
          </cell>
          <cell r="H36">
            <v>10</v>
          </cell>
          <cell r="I36" t="str">
            <v>Efectivo</v>
          </cell>
        </row>
        <row r="37">
          <cell r="A37" t="str">
            <v>Febrero</v>
          </cell>
          <cell r="D37" t="str">
            <v>Ingreso</v>
          </cell>
          <cell r="F37" t="str">
            <v>Servicio</v>
          </cell>
          <cell r="G37" t="str">
            <v>Tratamiento</v>
          </cell>
          <cell r="H37">
            <v>360</v>
          </cell>
          <cell r="I37" t="str">
            <v>Yape</v>
          </cell>
        </row>
        <row r="38">
          <cell r="A38" t="str">
            <v>Febrero</v>
          </cell>
          <cell r="D38" t="str">
            <v>Ingreso</v>
          </cell>
          <cell r="F38" t="str">
            <v>Servicio</v>
          </cell>
          <cell r="G38" t="str">
            <v>Baño y Corte</v>
          </cell>
          <cell r="H38">
            <v>40</v>
          </cell>
          <cell r="I38" t="str">
            <v>Efectivo</v>
          </cell>
        </row>
        <row r="39">
          <cell r="A39" t="str">
            <v>Febrero</v>
          </cell>
          <cell r="D39" t="str">
            <v>Ingreso</v>
          </cell>
          <cell r="F39" t="str">
            <v>Servicio</v>
          </cell>
          <cell r="G39" t="str">
            <v>Inyectable</v>
          </cell>
          <cell r="H39">
            <v>35</v>
          </cell>
          <cell r="I39" t="str">
            <v>Efectivo</v>
          </cell>
        </row>
        <row r="40">
          <cell r="A40" t="str">
            <v>Febrero</v>
          </cell>
          <cell r="D40" t="str">
            <v>Ingreso</v>
          </cell>
          <cell r="F40" t="str">
            <v>Producto</v>
          </cell>
          <cell r="H40">
            <v>10</v>
          </cell>
          <cell r="I40" t="str">
            <v>Efectivo</v>
          </cell>
        </row>
        <row r="41">
          <cell r="A41" t="str">
            <v>Febrero</v>
          </cell>
          <cell r="D41" t="str">
            <v>Ingreso</v>
          </cell>
          <cell r="F41" t="str">
            <v>Producto</v>
          </cell>
          <cell r="H41">
            <v>5</v>
          </cell>
          <cell r="I41" t="str">
            <v>Efectivo</v>
          </cell>
        </row>
        <row r="42">
          <cell r="A42" t="str">
            <v>Febrero</v>
          </cell>
          <cell r="D42" t="str">
            <v>Ingreso</v>
          </cell>
          <cell r="F42" t="str">
            <v>Producto</v>
          </cell>
          <cell r="H42">
            <v>200</v>
          </cell>
          <cell r="I42" t="str">
            <v>Efectivo</v>
          </cell>
        </row>
        <row r="43">
          <cell r="A43" t="str">
            <v>Febrero</v>
          </cell>
          <cell r="D43" t="str">
            <v>Ingreso</v>
          </cell>
          <cell r="F43" t="str">
            <v>Producto</v>
          </cell>
          <cell r="H43">
            <v>25</v>
          </cell>
          <cell r="I43" t="str">
            <v>Efectivo</v>
          </cell>
        </row>
        <row r="44">
          <cell r="A44" t="str">
            <v>Febrero</v>
          </cell>
          <cell r="D44" t="str">
            <v>Ingreso</v>
          </cell>
          <cell r="F44" t="str">
            <v>Producto</v>
          </cell>
          <cell r="H44">
            <v>10</v>
          </cell>
          <cell r="I44" t="str">
            <v>Efectivo</v>
          </cell>
        </row>
        <row r="45">
          <cell r="A45" t="str">
            <v>Febrero</v>
          </cell>
          <cell r="D45" t="str">
            <v>Ingreso</v>
          </cell>
          <cell r="F45" t="str">
            <v>Servicio</v>
          </cell>
          <cell r="G45" t="str">
            <v>Baño</v>
          </cell>
          <cell r="H45">
            <v>40</v>
          </cell>
          <cell r="I45" t="str">
            <v>Efectivo</v>
          </cell>
        </row>
        <row r="46">
          <cell r="A46" t="str">
            <v>Febrero</v>
          </cell>
          <cell r="D46" t="str">
            <v>Ingreso</v>
          </cell>
          <cell r="F46" t="str">
            <v>Producto</v>
          </cell>
          <cell r="H46">
            <v>3</v>
          </cell>
          <cell r="I46" t="str">
            <v>Efectivo</v>
          </cell>
        </row>
        <row r="47">
          <cell r="A47" t="str">
            <v>Febrero</v>
          </cell>
          <cell r="D47" t="str">
            <v>Ingreso</v>
          </cell>
          <cell r="F47" t="str">
            <v>Servicio</v>
          </cell>
          <cell r="G47" t="str">
            <v>Inyectable</v>
          </cell>
          <cell r="H47">
            <v>20</v>
          </cell>
          <cell r="I47" t="str">
            <v>Efectivo</v>
          </cell>
        </row>
        <row r="48">
          <cell r="A48" t="str">
            <v>Febrero</v>
          </cell>
          <cell r="D48" t="str">
            <v>Ingreso</v>
          </cell>
          <cell r="F48" t="str">
            <v>Servicio</v>
          </cell>
          <cell r="G48" t="str">
            <v>Baño y Corte</v>
          </cell>
          <cell r="H48">
            <v>35</v>
          </cell>
          <cell r="I48" t="str">
            <v>Efectivo</v>
          </cell>
        </row>
        <row r="49">
          <cell r="A49" t="str">
            <v>Febrero</v>
          </cell>
          <cell r="D49" t="str">
            <v>Ingreso</v>
          </cell>
          <cell r="F49" t="str">
            <v>Producto</v>
          </cell>
          <cell r="H49">
            <v>5</v>
          </cell>
          <cell r="I49" t="str">
            <v>Efectivo</v>
          </cell>
        </row>
        <row r="50">
          <cell r="A50" t="str">
            <v>Febrero</v>
          </cell>
          <cell r="D50" t="str">
            <v>Ingreso</v>
          </cell>
          <cell r="F50" t="str">
            <v>Servicio</v>
          </cell>
          <cell r="G50" t="str">
            <v>Baño y Corte</v>
          </cell>
          <cell r="H50">
            <v>70</v>
          </cell>
          <cell r="I50" t="str">
            <v>Efectivo</v>
          </cell>
        </row>
        <row r="51">
          <cell r="A51" t="str">
            <v>Febrero</v>
          </cell>
          <cell r="D51" t="str">
            <v>Ingreso</v>
          </cell>
          <cell r="F51" t="str">
            <v>Producto</v>
          </cell>
          <cell r="H51">
            <v>10</v>
          </cell>
          <cell r="I51" t="str">
            <v>Efectivo</v>
          </cell>
        </row>
        <row r="52">
          <cell r="A52" t="str">
            <v>Febrero</v>
          </cell>
          <cell r="D52" t="str">
            <v>Ingreso</v>
          </cell>
          <cell r="F52" t="str">
            <v>Producto</v>
          </cell>
          <cell r="H52">
            <v>6</v>
          </cell>
          <cell r="I52" t="str">
            <v>Efectivo</v>
          </cell>
        </row>
        <row r="53">
          <cell r="A53" t="str">
            <v>Febrero</v>
          </cell>
          <cell r="D53" t="str">
            <v>Ingreso</v>
          </cell>
          <cell r="F53" t="str">
            <v>Servicio</v>
          </cell>
          <cell r="G53" t="str">
            <v>Baño y Corte</v>
          </cell>
          <cell r="H53">
            <v>35</v>
          </cell>
          <cell r="I53" t="str">
            <v>Yape</v>
          </cell>
        </row>
        <row r="54">
          <cell r="A54" t="str">
            <v>Febrero</v>
          </cell>
          <cell r="D54" t="str">
            <v>Ingreso</v>
          </cell>
          <cell r="F54" t="str">
            <v>Servicio</v>
          </cell>
          <cell r="G54" t="str">
            <v>Tratamiento</v>
          </cell>
          <cell r="H54">
            <v>35</v>
          </cell>
          <cell r="I54" t="str">
            <v>Yape</v>
          </cell>
        </row>
        <row r="55">
          <cell r="A55" t="str">
            <v>Febrero</v>
          </cell>
          <cell r="D55" t="str">
            <v>Ingreso</v>
          </cell>
          <cell r="F55" t="str">
            <v>Servicio</v>
          </cell>
          <cell r="G55" t="str">
            <v>Tratamiento</v>
          </cell>
          <cell r="H55">
            <v>70</v>
          </cell>
          <cell r="I55" t="str">
            <v>Efectivo</v>
          </cell>
        </row>
        <row r="56">
          <cell r="A56" t="str">
            <v>Febrero</v>
          </cell>
          <cell r="D56" t="str">
            <v>Ingreso</v>
          </cell>
          <cell r="F56" t="str">
            <v>Producto</v>
          </cell>
          <cell r="H56">
            <v>7</v>
          </cell>
          <cell r="I56" t="str">
            <v>Efectivo</v>
          </cell>
        </row>
        <row r="57">
          <cell r="A57" t="str">
            <v>Febrero</v>
          </cell>
          <cell r="D57" t="str">
            <v>Ingreso</v>
          </cell>
          <cell r="F57" t="str">
            <v>Producto</v>
          </cell>
          <cell r="H57">
            <v>25</v>
          </cell>
          <cell r="I57" t="str">
            <v>Efectivo</v>
          </cell>
        </row>
        <row r="58">
          <cell r="A58" t="str">
            <v>Febrero</v>
          </cell>
          <cell r="D58" t="str">
            <v>Ingreso</v>
          </cell>
          <cell r="F58" t="str">
            <v>Producto</v>
          </cell>
          <cell r="H58">
            <v>5</v>
          </cell>
          <cell r="I58" t="str">
            <v>Efectivo</v>
          </cell>
        </row>
        <row r="59">
          <cell r="A59" t="str">
            <v>Febrero</v>
          </cell>
          <cell r="D59" t="str">
            <v>Ingreso</v>
          </cell>
          <cell r="F59" t="str">
            <v>Servicio</v>
          </cell>
          <cell r="G59" t="str">
            <v>Baño y Corte</v>
          </cell>
          <cell r="H59">
            <v>35</v>
          </cell>
          <cell r="I59" t="str">
            <v>Efectivo</v>
          </cell>
        </row>
        <row r="60">
          <cell r="A60" t="str">
            <v>Febrero</v>
          </cell>
          <cell r="D60" t="str">
            <v>Ingreso</v>
          </cell>
          <cell r="F60" t="str">
            <v>Servicio</v>
          </cell>
          <cell r="G60" t="str">
            <v>Baño y Corte</v>
          </cell>
          <cell r="H60">
            <v>35</v>
          </cell>
          <cell r="I60" t="str">
            <v>Efectivo</v>
          </cell>
        </row>
        <row r="61">
          <cell r="A61" t="str">
            <v>Febrero</v>
          </cell>
          <cell r="D61" t="str">
            <v>Ingreso</v>
          </cell>
          <cell r="F61" t="str">
            <v>Servicio</v>
          </cell>
          <cell r="G61" t="str">
            <v>Baño</v>
          </cell>
          <cell r="H61">
            <v>70</v>
          </cell>
          <cell r="I61" t="str">
            <v>Yape</v>
          </cell>
        </row>
        <row r="62">
          <cell r="A62" t="str">
            <v>Febrero</v>
          </cell>
          <cell r="D62" t="str">
            <v>Ingreso</v>
          </cell>
          <cell r="F62" t="str">
            <v>Producto</v>
          </cell>
          <cell r="H62">
            <v>30</v>
          </cell>
          <cell r="I62" t="str">
            <v>Yape</v>
          </cell>
        </row>
        <row r="63">
          <cell r="A63" t="str">
            <v>Febrero</v>
          </cell>
          <cell r="D63" t="str">
            <v>Ingreso</v>
          </cell>
          <cell r="F63" t="str">
            <v>Servicio</v>
          </cell>
          <cell r="G63" t="str">
            <v>Inyectable</v>
          </cell>
          <cell r="H63">
            <v>20</v>
          </cell>
          <cell r="I63" t="str">
            <v>Efectivo</v>
          </cell>
        </row>
        <row r="64">
          <cell r="A64" t="str">
            <v>Febrero</v>
          </cell>
          <cell r="D64" t="str">
            <v>Ingreso</v>
          </cell>
          <cell r="F64" t="str">
            <v>Producto</v>
          </cell>
          <cell r="H64">
            <v>33</v>
          </cell>
          <cell r="I64" t="str">
            <v>Efectivo</v>
          </cell>
        </row>
        <row r="65">
          <cell r="A65" t="str">
            <v>Febrero</v>
          </cell>
          <cell r="D65" t="str">
            <v>Ingreso</v>
          </cell>
          <cell r="F65" t="str">
            <v>Servicio</v>
          </cell>
          <cell r="G65" t="str">
            <v>Baño y Corte</v>
          </cell>
          <cell r="H65">
            <v>35</v>
          </cell>
          <cell r="I65" t="str">
            <v>Efectivo</v>
          </cell>
        </row>
        <row r="66">
          <cell r="A66" t="str">
            <v>Febrero</v>
          </cell>
          <cell r="D66" t="str">
            <v>Ingreso</v>
          </cell>
          <cell r="F66" t="str">
            <v>Producto</v>
          </cell>
          <cell r="H66">
            <v>5</v>
          </cell>
          <cell r="I66" t="str">
            <v>Efectivo</v>
          </cell>
        </row>
        <row r="67">
          <cell r="A67" t="str">
            <v>Febrero</v>
          </cell>
          <cell r="D67" t="str">
            <v>Ingreso</v>
          </cell>
          <cell r="F67" t="str">
            <v>Producto</v>
          </cell>
          <cell r="H67">
            <v>5</v>
          </cell>
          <cell r="I67" t="str">
            <v>Efectivo</v>
          </cell>
        </row>
        <row r="68">
          <cell r="A68" t="str">
            <v>Febrero</v>
          </cell>
          <cell r="D68" t="str">
            <v>Ingreso</v>
          </cell>
          <cell r="F68" t="str">
            <v>Servicio</v>
          </cell>
          <cell r="G68" t="str">
            <v>Tratamiento</v>
          </cell>
          <cell r="H68">
            <v>15</v>
          </cell>
          <cell r="I68" t="str">
            <v>Efectivo</v>
          </cell>
        </row>
        <row r="69">
          <cell r="A69" t="str">
            <v>Febrero</v>
          </cell>
          <cell r="D69" t="str">
            <v>Ingreso</v>
          </cell>
          <cell r="F69" t="str">
            <v>Servicio</v>
          </cell>
          <cell r="G69" t="str">
            <v>Vacuna</v>
          </cell>
          <cell r="H69">
            <v>45</v>
          </cell>
          <cell r="I69" t="str">
            <v>Efectivo</v>
          </cell>
        </row>
        <row r="70">
          <cell r="A70" t="str">
            <v>Febrero</v>
          </cell>
          <cell r="D70" t="str">
            <v>Ingreso</v>
          </cell>
          <cell r="F70" t="str">
            <v>Servicio</v>
          </cell>
          <cell r="G70" t="str">
            <v>Tratamiento</v>
          </cell>
          <cell r="H70">
            <v>35</v>
          </cell>
          <cell r="I70" t="str">
            <v>Yape</v>
          </cell>
        </row>
        <row r="71">
          <cell r="A71" t="str">
            <v>Febrero</v>
          </cell>
          <cell r="D71" t="str">
            <v>Ingreso</v>
          </cell>
          <cell r="F71" t="str">
            <v>Producto</v>
          </cell>
          <cell r="H71">
            <v>3</v>
          </cell>
          <cell r="I71" t="str">
            <v>Efectivo</v>
          </cell>
        </row>
        <row r="72">
          <cell r="A72" t="str">
            <v>Febrero</v>
          </cell>
          <cell r="D72" t="str">
            <v>Ingreso</v>
          </cell>
          <cell r="F72" t="str">
            <v>Servicio</v>
          </cell>
          <cell r="G72" t="str">
            <v>Inyectable</v>
          </cell>
          <cell r="H72">
            <v>40</v>
          </cell>
          <cell r="I72" t="str">
            <v>Efectivo</v>
          </cell>
        </row>
        <row r="73">
          <cell r="A73" t="str">
            <v>Febrero</v>
          </cell>
          <cell r="D73" t="str">
            <v>Ingreso</v>
          </cell>
          <cell r="F73" t="str">
            <v>Servicio</v>
          </cell>
          <cell r="G73" t="str">
            <v>Tratamiento</v>
          </cell>
          <cell r="H73">
            <v>70</v>
          </cell>
          <cell r="I73" t="str">
            <v>Yape</v>
          </cell>
        </row>
        <row r="74">
          <cell r="A74" t="str">
            <v>Febrero</v>
          </cell>
          <cell r="D74" t="str">
            <v>Ingreso</v>
          </cell>
          <cell r="F74" t="str">
            <v>Servicio</v>
          </cell>
          <cell r="G74" t="str">
            <v>Baño y Corte</v>
          </cell>
          <cell r="H74">
            <v>45</v>
          </cell>
          <cell r="I74" t="str">
            <v>Efectivo</v>
          </cell>
        </row>
        <row r="75">
          <cell r="A75" t="str">
            <v>Febrero</v>
          </cell>
          <cell r="D75" t="str">
            <v>Ingreso</v>
          </cell>
          <cell r="F75" t="str">
            <v>Producto</v>
          </cell>
          <cell r="H75">
            <v>140</v>
          </cell>
          <cell r="I75" t="str">
            <v>Efectivo</v>
          </cell>
        </row>
        <row r="76">
          <cell r="A76" t="str">
            <v>Febrero</v>
          </cell>
          <cell r="D76" t="str">
            <v>Ingreso</v>
          </cell>
          <cell r="F76" t="str">
            <v>Servicio</v>
          </cell>
          <cell r="G76" t="str">
            <v>Baño y Corte</v>
          </cell>
          <cell r="H76">
            <v>45</v>
          </cell>
          <cell r="I76" t="str">
            <v>Efectivo</v>
          </cell>
        </row>
        <row r="77">
          <cell r="A77" t="str">
            <v>Febrero</v>
          </cell>
          <cell r="D77" t="str">
            <v>Ingreso</v>
          </cell>
          <cell r="F77" t="str">
            <v>Producto</v>
          </cell>
          <cell r="H77">
            <v>20</v>
          </cell>
          <cell r="I77" t="str">
            <v>Efectivo</v>
          </cell>
        </row>
        <row r="78">
          <cell r="A78" t="str">
            <v>Febrero</v>
          </cell>
          <cell r="D78" t="str">
            <v>Ingreso</v>
          </cell>
          <cell r="F78" t="str">
            <v>Producto</v>
          </cell>
          <cell r="H78">
            <v>39</v>
          </cell>
          <cell r="I78" t="str">
            <v>Efectivo</v>
          </cell>
        </row>
        <row r="79">
          <cell r="A79" t="str">
            <v>Febrero</v>
          </cell>
          <cell r="D79" t="str">
            <v>Ingreso</v>
          </cell>
          <cell r="F79" t="str">
            <v>Producto</v>
          </cell>
          <cell r="H79">
            <v>6</v>
          </cell>
          <cell r="I79" t="str">
            <v>Efectivo</v>
          </cell>
        </row>
        <row r="80">
          <cell r="A80" t="str">
            <v>Febrero</v>
          </cell>
          <cell r="D80" t="str">
            <v>Ingreso</v>
          </cell>
          <cell r="F80" t="str">
            <v>Producto</v>
          </cell>
          <cell r="H80">
            <v>24</v>
          </cell>
          <cell r="I80" t="str">
            <v>Yape</v>
          </cell>
        </row>
        <row r="81">
          <cell r="A81" t="str">
            <v>Febrero</v>
          </cell>
          <cell r="D81" t="str">
            <v>Ingreso</v>
          </cell>
          <cell r="F81" t="str">
            <v>Servicio</v>
          </cell>
          <cell r="G81" t="str">
            <v>Tratamiento</v>
          </cell>
          <cell r="H81">
            <v>110</v>
          </cell>
          <cell r="I81" t="str">
            <v>Yape</v>
          </cell>
        </row>
        <row r="82">
          <cell r="A82" t="str">
            <v>Febrero</v>
          </cell>
          <cell r="D82" t="str">
            <v>Ingreso</v>
          </cell>
          <cell r="F82" t="str">
            <v>Servicio</v>
          </cell>
          <cell r="G82" t="str">
            <v>Inyectable</v>
          </cell>
          <cell r="H82">
            <v>15</v>
          </cell>
          <cell r="I82" t="str">
            <v>Efectivo</v>
          </cell>
        </row>
        <row r="83">
          <cell r="A83" t="str">
            <v>Febrero</v>
          </cell>
          <cell r="D83" t="str">
            <v>Ingreso</v>
          </cell>
          <cell r="F83" t="str">
            <v>Producto</v>
          </cell>
          <cell r="H83">
            <v>55</v>
          </cell>
          <cell r="I83" t="str">
            <v>Efectivo</v>
          </cell>
        </row>
        <row r="84">
          <cell r="A84" t="str">
            <v>Febrero</v>
          </cell>
          <cell r="D84" t="str">
            <v>Egreso</v>
          </cell>
          <cell r="H84">
            <v>7</v>
          </cell>
          <cell r="I84" t="str">
            <v>Efectivo</v>
          </cell>
        </row>
        <row r="85">
          <cell r="A85" t="str">
            <v>Febrero</v>
          </cell>
          <cell r="D85" t="str">
            <v>Ingreso</v>
          </cell>
          <cell r="F85" t="str">
            <v>Producto</v>
          </cell>
          <cell r="H85">
            <v>30</v>
          </cell>
          <cell r="I85" t="str">
            <v>Yape</v>
          </cell>
        </row>
        <row r="86">
          <cell r="A86" t="str">
            <v>Febrero</v>
          </cell>
          <cell r="D86" t="str">
            <v>Ingreso</v>
          </cell>
          <cell r="F86" t="str">
            <v>Producto</v>
          </cell>
          <cell r="H86">
            <v>10</v>
          </cell>
          <cell r="I86" t="str">
            <v>Efectivo</v>
          </cell>
        </row>
        <row r="87">
          <cell r="A87" t="str">
            <v>Febrero</v>
          </cell>
          <cell r="D87" t="str">
            <v>Ingreso</v>
          </cell>
          <cell r="F87" t="str">
            <v>Servicio</v>
          </cell>
          <cell r="G87" t="str">
            <v>Baño y Corte</v>
          </cell>
          <cell r="H87">
            <v>35</v>
          </cell>
          <cell r="I87" t="str">
            <v>Efectivo</v>
          </cell>
        </row>
        <row r="88">
          <cell r="A88" t="str">
            <v>Febrero</v>
          </cell>
          <cell r="D88" t="str">
            <v>Ingreso</v>
          </cell>
          <cell r="F88" t="str">
            <v>Servicio</v>
          </cell>
          <cell r="G88" t="str">
            <v>Baño y Corte</v>
          </cell>
          <cell r="H88">
            <v>40</v>
          </cell>
          <cell r="I88" t="str">
            <v>Efectivo</v>
          </cell>
        </row>
        <row r="89">
          <cell r="A89" t="str">
            <v>Febrero</v>
          </cell>
          <cell r="D89" t="str">
            <v>Ingreso</v>
          </cell>
          <cell r="F89" t="str">
            <v>Producto</v>
          </cell>
          <cell r="H89">
            <v>5</v>
          </cell>
          <cell r="I89" t="str">
            <v>Efectivo</v>
          </cell>
        </row>
        <row r="90">
          <cell r="A90" t="str">
            <v>Febrero</v>
          </cell>
          <cell r="D90" t="str">
            <v>Ingreso</v>
          </cell>
          <cell r="F90" t="str">
            <v>Producto</v>
          </cell>
          <cell r="H90">
            <v>13</v>
          </cell>
          <cell r="I90" t="str">
            <v>Efectivo</v>
          </cell>
        </row>
        <row r="91">
          <cell r="A91" t="str">
            <v>Febrero</v>
          </cell>
          <cell r="D91" t="str">
            <v>Ingreso</v>
          </cell>
          <cell r="F91" t="str">
            <v>Servicio</v>
          </cell>
          <cell r="G91" t="str">
            <v>Desparasitación</v>
          </cell>
          <cell r="H91">
            <v>10</v>
          </cell>
          <cell r="I91" t="str">
            <v>Efectivo</v>
          </cell>
        </row>
        <row r="92">
          <cell r="A92" t="str">
            <v>Febrero</v>
          </cell>
          <cell r="D92" t="str">
            <v>Ingreso</v>
          </cell>
          <cell r="F92" t="str">
            <v>Servicio</v>
          </cell>
          <cell r="G92" t="str">
            <v>Baño y Corte</v>
          </cell>
          <cell r="H92">
            <v>30</v>
          </cell>
          <cell r="I92" t="str">
            <v>Efectivo</v>
          </cell>
        </row>
        <row r="93">
          <cell r="A93" t="str">
            <v>Febrero</v>
          </cell>
          <cell r="D93" t="str">
            <v>Ingreso</v>
          </cell>
          <cell r="F93" t="str">
            <v>Servicio</v>
          </cell>
          <cell r="G93" t="str">
            <v>Tratamiento</v>
          </cell>
          <cell r="H93">
            <v>50</v>
          </cell>
          <cell r="I93" t="str">
            <v>Efectivo</v>
          </cell>
        </row>
        <row r="94">
          <cell r="A94" t="str">
            <v>Febrero</v>
          </cell>
          <cell r="D94" t="str">
            <v>Ingreso</v>
          </cell>
          <cell r="F94" t="str">
            <v>Producto</v>
          </cell>
          <cell r="H94">
            <v>35</v>
          </cell>
          <cell r="I94" t="str">
            <v>Efectivo</v>
          </cell>
        </row>
        <row r="95">
          <cell r="A95" t="str">
            <v>Febrero</v>
          </cell>
          <cell r="D95" t="str">
            <v>Ingreso</v>
          </cell>
          <cell r="F95" t="str">
            <v>Servicio</v>
          </cell>
          <cell r="G95" t="str">
            <v>Tratamiento</v>
          </cell>
          <cell r="H95">
            <v>60</v>
          </cell>
          <cell r="I95" t="str">
            <v>Efectivo</v>
          </cell>
        </row>
        <row r="96">
          <cell r="A96" t="str">
            <v>Febrero</v>
          </cell>
          <cell r="D96" t="str">
            <v>Ingreso</v>
          </cell>
          <cell r="F96" t="str">
            <v>Servicio</v>
          </cell>
          <cell r="G96" t="str">
            <v>Baño y Corte</v>
          </cell>
          <cell r="H96">
            <v>35</v>
          </cell>
          <cell r="I96" t="str">
            <v>Yape</v>
          </cell>
        </row>
        <row r="97">
          <cell r="A97" t="str">
            <v>Febrero</v>
          </cell>
          <cell r="D97" t="str">
            <v>Ingreso</v>
          </cell>
          <cell r="F97" t="str">
            <v>Servicio</v>
          </cell>
          <cell r="G97" t="str">
            <v>Cirugía / Esterilización</v>
          </cell>
          <cell r="H97">
            <v>120</v>
          </cell>
          <cell r="I97" t="str">
            <v>Efectivo</v>
          </cell>
        </row>
        <row r="98">
          <cell r="A98" t="str">
            <v>Febrero</v>
          </cell>
          <cell r="D98" t="str">
            <v>Ingreso</v>
          </cell>
          <cell r="F98" t="str">
            <v>Producto</v>
          </cell>
          <cell r="H98">
            <v>6</v>
          </cell>
          <cell r="I98" t="str">
            <v>Efectivo</v>
          </cell>
        </row>
        <row r="99">
          <cell r="A99" t="str">
            <v>Febrero</v>
          </cell>
          <cell r="D99" t="str">
            <v>Ingreso</v>
          </cell>
          <cell r="F99" t="str">
            <v>Producto</v>
          </cell>
          <cell r="H99">
            <v>10</v>
          </cell>
          <cell r="I99" t="str">
            <v>Efectivo</v>
          </cell>
        </row>
        <row r="100">
          <cell r="A100" t="str">
            <v>Febrero</v>
          </cell>
          <cell r="D100" t="str">
            <v>Egreso</v>
          </cell>
          <cell r="H100">
            <v>600</v>
          </cell>
          <cell r="I100" t="str">
            <v>Efectivo</v>
          </cell>
        </row>
        <row r="101">
          <cell r="A101" t="str">
            <v>Febrero</v>
          </cell>
          <cell r="D101" t="str">
            <v>Ingreso</v>
          </cell>
          <cell r="F101" t="str">
            <v>Producto</v>
          </cell>
          <cell r="H101">
            <v>11</v>
          </cell>
          <cell r="I101" t="str">
            <v>Efectivo</v>
          </cell>
        </row>
        <row r="102">
          <cell r="A102" t="str">
            <v>Febrero</v>
          </cell>
          <cell r="D102" t="str">
            <v>Ingreso</v>
          </cell>
          <cell r="F102" t="str">
            <v>Producto</v>
          </cell>
          <cell r="H102">
            <v>2</v>
          </cell>
          <cell r="I102" t="str">
            <v>Efectivo</v>
          </cell>
        </row>
        <row r="103">
          <cell r="A103" t="str">
            <v>Febrero</v>
          </cell>
          <cell r="D103" t="str">
            <v>Ingreso</v>
          </cell>
          <cell r="F103" t="str">
            <v>Producto</v>
          </cell>
          <cell r="H103">
            <v>5</v>
          </cell>
          <cell r="I103" t="str">
            <v>Efectivo</v>
          </cell>
        </row>
        <row r="104">
          <cell r="A104" t="str">
            <v>Febrero</v>
          </cell>
          <cell r="D104" t="str">
            <v>Ingreso</v>
          </cell>
          <cell r="F104" t="str">
            <v>Servicio</v>
          </cell>
          <cell r="G104" t="str">
            <v>Otro servicio</v>
          </cell>
          <cell r="H104">
            <v>5</v>
          </cell>
          <cell r="I104" t="str">
            <v>Efectivo</v>
          </cell>
        </row>
        <row r="105">
          <cell r="A105" t="str">
            <v>Febrero</v>
          </cell>
          <cell r="D105" t="str">
            <v>Ingreso</v>
          </cell>
          <cell r="F105" t="str">
            <v>Servicio</v>
          </cell>
          <cell r="G105" t="str">
            <v>Baño y Corte</v>
          </cell>
          <cell r="H105">
            <v>30</v>
          </cell>
          <cell r="I105" t="str">
            <v>Yape</v>
          </cell>
        </row>
        <row r="106">
          <cell r="A106" t="str">
            <v>Febrero</v>
          </cell>
          <cell r="D106" t="str">
            <v>Ingreso</v>
          </cell>
          <cell r="F106" t="str">
            <v>Producto</v>
          </cell>
          <cell r="H106">
            <v>1</v>
          </cell>
          <cell r="I106" t="str">
            <v>Efectivo</v>
          </cell>
        </row>
        <row r="107">
          <cell r="A107" t="str">
            <v>Febrero</v>
          </cell>
          <cell r="D107" t="str">
            <v>Ingreso</v>
          </cell>
          <cell r="F107" t="str">
            <v>Producto</v>
          </cell>
          <cell r="H107">
            <v>45</v>
          </cell>
          <cell r="I107" t="str">
            <v>Efectivo</v>
          </cell>
        </row>
        <row r="108">
          <cell r="A108" t="str">
            <v>Febrero</v>
          </cell>
          <cell r="D108" t="str">
            <v>Ingreso</v>
          </cell>
          <cell r="F108" t="str">
            <v>Servicio</v>
          </cell>
          <cell r="G108" t="str">
            <v>Vacuna</v>
          </cell>
          <cell r="H108">
            <v>106</v>
          </cell>
          <cell r="I108" t="str">
            <v>Efectivo</v>
          </cell>
        </row>
        <row r="109">
          <cell r="A109" t="str">
            <v>Febrero</v>
          </cell>
          <cell r="D109" t="str">
            <v>Ingreso</v>
          </cell>
          <cell r="F109" t="str">
            <v>Producto</v>
          </cell>
          <cell r="H109">
            <v>109</v>
          </cell>
          <cell r="I109" t="str">
            <v>Yape</v>
          </cell>
        </row>
        <row r="110">
          <cell r="A110" t="str">
            <v>Febrero</v>
          </cell>
          <cell r="D110" t="str">
            <v>Ingreso</v>
          </cell>
          <cell r="F110" t="str">
            <v>Servicio</v>
          </cell>
          <cell r="G110" t="str">
            <v>Cirugía / Esterilización</v>
          </cell>
          <cell r="H110">
            <v>50</v>
          </cell>
          <cell r="I110" t="str">
            <v>Efectivo</v>
          </cell>
        </row>
        <row r="111">
          <cell r="A111" t="str">
            <v>Febrero</v>
          </cell>
          <cell r="D111" t="str">
            <v>Ingreso</v>
          </cell>
          <cell r="F111" t="str">
            <v>Producto</v>
          </cell>
          <cell r="H111">
            <v>170</v>
          </cell>
          <cell r="I111" t="str">
            <v>Efectivo</v>
          </cell>
        </row>
        <row r="112">
          <cell r="A112" t="str">
            <v>Febrero</v>
          </cell>
          <cell r="D112" t="str">
            <v>Ingreso</v>
          </cell>
          <cell r="F112" t="str">
            <v>Producto</v>
          </cell>
          <cell r="H112">
            <v>8</v>
          </cell>
          <cell r="I112" t="str">
            <v>Yape</v>
          </cell>
        </row>
        <row r="113">
          <cell r="A113" t="str">
            <v>Febrero</v>
          </cell>
          <cell r="D113" t="str">
            <v>Ingreso</v>
          </cell>
          <cell r="F113" t="str">
            <v>Producto</v>
          </cell>
          <cell r="H113">
            <v>20</v>
          </cell>
          <cell r="I113" t="str">
            <v>Yape</v>
          </cell>
        </row>
        <row r="114">
          <cell r="A114" t="str">
            <v>Febrero</v>
          </cell>
          <cell r="D114" t="str">
            <v>Ingreso</v>
          </cell>
          <cell r="F114" t="str">
            <v>Producto</v>
          </cell>
          <cell r="H114">
            <v>10</v>
          </cell>
          <cell r="I114" t="str">
            <v>Efectivo</v>
          </cell>
        </row>
        <row r="115">
          <cell r="A115" t="str">
            <v>Febrero</v>
          </cell>
          <cell r="D115" t="str">
            <v>Ingreso</v>
          </cell>
          <cell r="F115" t="str">
            <v>Servicio</v>
          </cell>
          <cell r="G115" t="str">
            <v>Vacuna</v>
          </cell>
          <cell r="H115">
            <v>80</v>
          </cell>
          <cell r="I115" t="str">
            <v>Yape</v>
          </cell>
        </row>
        <row r="116">
          <cell r="A116" t="str">
            <v>Febrero</v>
          </cell>
          <cell r="D116" t="str">
            <v>Ingreso</v>
          </cell>
          <cell r="F116" t="str">
            <v>Producto</v>
          </cell>
          <cell r="H116">
            <v>28</v>
          </cell>
          <cell r="I116" t="str">
            <v>Yape</v>
          </cell>
        </row>
        <row r="117">
          <cell r="A117" t="str">
            <v>Febrero</v>
          </cell>
          <cell r="D117" t="str">
            <v>Ingreso</v>
          </cell>
          <cell r="F117" t="str">
            <v>Producto</v>
          </cell>
          <cell r="H117">
            <v>5</v>
          </cell>
          <cell r="I117" t="str">
            <v>Efectivo</v>
          </cell>
        </row>
        <row r="118">
          <cell r="A118" t="str">
            <v>Febrero</v>
          </cell>
          <cell r="D118" t="str">
            <v>Ingreso</v>
          </cell>
          <cell r="F118" t="str">
            <v>Producto</v>
          </cell>
          <cell r="H118">
            <v>5</v>
          </cell>
          <cell r="I118" t="str">
            <v>Efectivo</v>
          </cell>
        </row>
        <row r="119">
          <cell r="A119" t="str">
            <v>Febrero</v>
          </cell>
          <cell r="D119" t="str">
            <v>Ingreso</v>
          </cell>
          <cell r="F119" t="str">
            <v>Producto</v>
          </cell>
          <cell r="H119">
            <v>20</v>
          </cell>
          <cell r="I119" t="str">
            <v>Efectivo</v>
          </cell>
        </row>
        <row r="120">
          <cell r="A120" t="str">
            <v>Febrero</v>
          </cell>
          <cell r="D120" t="str">
            <v>Ingreso</v>
          </cell>
          <cell r="F120" t="str">
            <v>Producto</v>
          </cell>
          <cell r="H120">
            <v>25</v>
          </cell>
          <cell r="I120" t="str">
            <v>Efectivo</v>
          </cell>
        </row>
        <row r="121">
          <cell r="A121" t="str">
            <v>Febrero</v>
          </cell>
          <cell r="D121" t="str">
            <v>Ingreso</v>
          </cell>
          <cell r="F121" t="str">
            <v>Producto</v>
          </cell>
          <cell r="H121">
            <v>7</v>
          </cell>
          <cell r="I121" t="str">
            <v>Efectivo</v>
          </cell>
        </row>
        <row r="122">
          <cell r="A122" t="str">
            <v>Febrero</v>
          </cell>
          <cell r="D122" t="str">
            <v>Ingreso</v>
          </cell>
          <cell r="F122" t="str">
            <v>Producto</v>
          </cell>
          <cell r="H122">
            <v>11</v>
          </cell>
          <cell r="I122" t="str">
            <v>Efectivo</v>
          </cell>
        </row>
        <row r="123">
          <cell r="A123" t="str">
            <v>Febrero</v>
          </cell>
          <cell r="D123" t="str">
            <v>Ingreso</v>
          </cell>
          <cell r="F123" t="str">
            <v>Producto</v>
          </cell>
          <cell r="H123">
            <v>5</v>
          </cell>
          <cell r="I123" t="str">
            <v>Efectivo</v>
          </cell>
        </row>
        <row r="124">
          <cell r="A124" t="str">
            <v>Febrero</v>
          </cell>
          <cell r="D124" t="str">
            <v>Ingreso</v>
          </cell>
          <cell r="F124" t="str">
            <v>Producto</v>
          </cell>
          <cell r="H124">
            <v>40</v>
          </cell>
          <cell r="I124" t="str">
            <v>Efectivo</v>
          </cell>
        </row>
        <row r="125">
          <cell r="A125" t="str">
            <v>Febrero</v>
          </cell>
          <cell r="D125" t="str">
            <v>Egreso</v>
          </cell>
          <cell r="H125">
            <v>133</v>
          </cell>
          <cell r="I125" t="str">
            <v>Efectivo</v>
          </cell>
        </row>
        <row r="126">
          <cell r="A126" t="str">
            <v>Febrero</v>
          </cell>
          <cell r="D126" t="str">
            <v>Ingreso</v>
          </cell>
          <cell r="F126" t="str">
            <v>Servicio</v>
          </cell>
          <cell r="G126" t="str">
            <v>Vacuna</v>
          </cell>
          <cell r="H126">
            <v>40</v>
          </cell>
          <cell r="I126" t="str">
            <v>Efectivo</v>
          </cell>
        </row>
        <row r="127">
          <cell r="A127" t="str">
            <v>Febrero</v>
          </cell>
          <cell r="D127" t="str">
            <v>Ingreso</v>
          </cell>
          <cell r="F127" t="str">
            <v>Producto</v>
          </cell>
          <cell r="H127">
            <v>23</v>
          </cell>
          <cell r="I127" t="str">
            <v>Efectivo</v>
          </cell>
        </row>
        <row r="128">
          <cell r="A128" t="str">
            <v>Febrero</v>
          </cell>
          <cell r="D128" t="str">
            <v>Ingreso</v>
          </cell>
          <cell r="F128" t="str">
            <v>Producto</v>
          </cell>
          <cell r="H128">
            <v>5</v>
          </cell>
          <cell r="I128" t="str">
            <v>Efectivo</v>
          </cell>
        </row>
        <row r="129">
          <cell r="A129" t="str">
            <v>Febrero</v>
          </cell>
          <cell r="D129" t="str">
            <v>Ingreso</v>
          </cell>
          <cell r="F129" t="str">
            <v>Producto</v>
          </cell>
          <cell r="H129">
            <v>12</v>
          </cell>
          <cell r="I129" t="str">
            <v>Efectivo</v>
          </cell>
        </row>
        <row r="130">
          <cell r="A130" t="str">
            <v>Febrero</v>
          </cell>
          <cell r="D130" t="str">
            <v>Ingreso</v>
          </cell>
          <cell r="F130" t="str">
            <v>Producto</v>
          </cell>
          <cell r="H130">
            <v>30</v>
          </cell>
          <cell r="I130" t="str">
            <v>Efectivo</v>
          </cell>
        </row>
        <row r="131">
          <cell r="A131" t="str">
            <v>Febrero</v>
          </cell>
          <cell r="D131" t="str">
            <v>Ingreso</v>
          </cell>
          <cell r="F131" t="str">
            <v>Producto</v>
          </cell>
          <cell r="H131">
            <v>5</v>
          </cell>
          <cell r="I131" t="str">
            <v>Efectivo</v>
          </cell>
        </row>
        <row r="132">
          <cell r="A132" t="str">
            <v>Febrero</v>
          </cell>
          <cell r="D132" t="str">
            <v>Ingreso</v>
          </cell>
          <cell r="F132" t="str">
            <v>Producto</v>
          </cell>
          <cell r="H132">
            <v>5</v>
          </cell>
          <cell r="I132" t="str">
            <v>Efectivo</v>
          </cell>
        </row>
        <row r="133">
          <cell r="A133" t="str">
            <v>Febrero</v>
          </cell>
          <cell r="D133" t="str">
            <v>Ingreso</v>
          </cell>
          <cell r="F133" t="str">
            <v>Producto</v>
          </cell>
          <cell r="H133">
            <v>13</v>
          </cell>
          <cell r="I133" t="str">
            <v>Efectivo</v>
          </cell>
        </row>
        <row r="134">
          <cell r="A134" t="str">
            <v>Febrero</v>
          </cell>
          <cell r="D134" t="str">
            <v>Ingreso</v>
          </cell>
          <cell r="F134" t="str">
            <v>Producto</v>
          </cell>
          <cell r="H134">
            <v>5</v>
          </cell>
          <cell r="I134" t="str">
            <v>Efectivo</v>
          </cell>
        </row>
        <row r="135">
          <cell r="A135" t="str">
            <v>Febrero</v>
          </cell>
          <cell r="D135" t="str">
            <v>Ingreso</v>
          </cell>
          <cell r="F135" t="str">
            <v>Producto</v>
          </cell>
          <cell r="H135">
            <v>10</v>
          </cell>
          <cell r="I135" t="str">
            <v>Efectivo</v>
          </cell>
        </row>
        <row r="136">
          <cell r="A136" t="str">
            <v>Febrero</v>
          </cell>
          <cell r="D136" t="str">
            <v>Egreso</v>
          </cell>
          <cell r="H136">
            <v>39</v>
          </cell>
          <cell r="I136" t="str">
            <v>Efectivo</v>
          </cell>
        </row>
        <row r="137">
          <cell r="A137" t="str">
            <v>Febrero</v>
          </cell>
          <cell r="D137" t="str">
            <v>Ingreso</v>
          </cell>
          <cell r="F137" t="str">
            <v>Servicio</v>
          </cell>
          <cell r="G137" t="str">
            <v>Vacuna</v>
          </cell>
          <cell r="H137">
            <v>75</v>
          </cell>
          <cell r="I137" t="str">
            <v>Efectivo</v>
          </cell>
        </row>
        <row r="138">
          <cell r="A138" t="str">
            <v>Febrero</v>
          </cell>
          <cell r="D138" t="str">
            <v>Ingreso</v>
          </cell>
          <cell r="F138" t="str">
            <v>Servicio</v>
          </cell>
          <cell r="G138" t="str">
            <v>Baño y Corte</v>
          </cell>
          <cell r="H138">
            <v>43</v>
          </cell>
          <cell r="I138" t="str">
            <v>Efectivo</v>
          </cell>
        </row>
        <row r="139">
          <cell r="A139" t="str">
            <v>Febrero</v>
          </cell>
          <cell r="D139" t="str">
            <v>Ingreso</v>
          </cell>
          <cell r="F139" t="str">
            <v>Servicio</v>
          </cell>
          <cell r="G139" t="str">
            <v>Vacuna</v>
          </cell>
          <cell r="H139">
            <v>35</v>
          </cell>
          <cell r="I139" t="str">
            <v>Efectivo</v>
          </cell>
        </row>
        <row r="140">
          <cell r="A140" t="str">
            <v>Febrero</v>
          </cell>
          <cell r="D140" t="str">
            <v>Ingreso</v>
          </cell>
          <cell r="F140" t="str">
            <v>Servicio</v>
          </cell>
          <cell r="G140" t="str">
            <v>Baño y Corte</v>
          </cell>
          <cell r="H140">
            <v>30</v>
          </cell>
          <cell r="I140" t="str">
            <v>Efectivo</v>
          </cell>
        </row>
        <row r="141">
          <cell r="A141" t="str">
            <v>Febrero</v>
          </cell>
          <cell r="D141" t="str">
            <v>Ingreso</v>
          </cell>
          <cell r="F141" t="str">
            <v>Servicio</v>
          </cell>
          <cell r="G141" t="str">
            <v>Desparasitación</v>
          </cell>
          <cell r="H141">
            <v>30</v>
          </cell>
          <cell r="I141" t="str">
            <v>Efectivo</v>
          </cell>
        </row>
        <row r="142">
          <cell r="A142" t="str">
            <v>Febrero</v>
          </cell>
          <cell r="D142" t="str">
            <v>Ingreso</v>
          </cell>
          <cell r="F142" t="str">
            <v>Servicio</v>
          </cell>
          <cell r="G142" t="str">
            <v>Baño y Corte</v>
          </cell>
          <cell r="H142">
            <v>95</v>
          </cell>
          <cell r="I142" t="str">
            <v>Efectivo</v>
          </cell>
        </row>
        <row r="143">
          <cell r="A143" t="str">
            <v>Febrero</v>
          </cell>
          <cell r="D143" t="str">
            <v>Ingreso</v>
          </cell>
          <cell r="F143" t="str">
            <v>Producto</v>
          </cell>
          <cell r="H143">
            <v>4</v>
          </cell>
          <cell r="I143" t="str">
            <v>Efectivo</v>
          </cell>
        </row>
        <row r="144">
          <cell r="A144" t="str">
            <v>Febrero</v>
          </cell>
          <cell r="D144" t="str">
            <v>Ingreso</v>
          </cell>
          <cell r="F144" t="str">
            <v>Producto</v>
          </cell>
          <cell r="H144">
            <v>30</v>
          </cell>
          <cell r="I144" t="str">
            <v>Efectivo</v>
          </cell>
        </row>
        <row r="145">
          <cell r="A145" t="str">
            <v>Febrero</v>
          </cell>
          <cell r="D145" t="str">
            <v>Ingreso</v>
          </cell>
          <cell r="F145" t="str">
            <v>Producto</v>
          </cell>
          <cell r="H145">
            <v>25</v>
          </cell>
          <cell r="I145" t="str">
            <v>Efectivo</v>
          </cell>
        </row>
        <row r="146">
          <cell r="A146" t="str">
            <v>Febrero</v>
          </cell>
          <cell r="D146" t="str">
            <v>Ingreso</v>
          </cell>
          <cell r="F146" t="str">
            <v>Servicio</v>
          </cell>
          <cell r="G146" t="str">
            <v>Cirugía / Esterilización</v>
          </cell>
          <cell r="H146">
            <v>140</v>
          </cell>
          <cell r="I146" t="str">
            <v>Efectivo</v>
          </cell>
        </row>
        <row r="147">
          <cell r="A147" t="str">
            <v>Febrero</v>
          </cell>
          <cell r="D147" t="str">
            <v>Ingreso</v>
          </cell>
          <cell r="F147" t="str">
            <v>Producto</v>
          </cell>
          <cell r="H147">
            <v>10</v>
          </cell>
          <cell r="I147" t="str">
            <v>Efectivo</v>
          </cell>
        </row>
        <row r="148">
          <cell r="A148" t="str">
            <v>Febrero</v>
          </cell>
          <cell r="D148" t="str">
            <v>Ingreso</v>
          </cell>
          <cell r="F148" t="str">
            <v>Producto</v>
          </cell>
          <cell r="H148">
            <v>5</v>
          </cell>
          <cell r="I148" t="str">
            <v>Efectivo</v>
          </cell>
        </row>
        <row r="149">
          <cell r="A149" t="str">
            <v>Febrero</v>
          </cell>
          <cell r="D149" t="str">
            <v>Ingreso</v>
          </cell>
          <cell r="F149" t="str">
            <v>Servicio</v>
          </cell>
          <cell r="G149" t="str">
            <v>Tratamiento</v>
          </cell>
          <cell r="H149">
            <v>30</v>
          </cell>
          <cell r="I149" t="str">
            <v>Yape</v>
          </cell>
        </row>
        <row r="150">
          <cell r="A150" t="str">
            <v>Febrero</v>
          </cell>
          <cell r="D150" t="str">
            <v>Ingreso</v>
          </cell>
          <cell r="F150" t="str">
            <v>Servicio</v>
          </cell>
          <cell r="G150" t="str">
            <v>Cirugía / Esterilización</v>
          </cell>
          <cell r="H150">
            <v>100</v>
          </cell>
          <cell r="I150" t="str">
            <v>Yape</v>
          </cell>
        </row>
        <row r="151">
          <cell r="A151" t="str">
            <v>Febrero</v>
          </cell>
          <cell r="D151" t="str">
            <v>Ingreso</v>
          </cell>
          <cell r="F151" t="str">
            <v>Producto</v>
          </cell>
          <cell r="H151">
            <v>14</v>
          </cell>
          <cell r="I151" t="str">
            <v>Efectivo</v>
          </cell>
        </row>
        <row r="152">
          <cell r="A152" t="str">
            <v>Febrero</v>
          </cell>
          <cell r="D152" t="str">
            <v>Ingreso</v>
          </cell>
          <cell r="F152" t="str">
            <v>Servicio</v>
          </cell>
          <cell r="G152" t="str">
            <v>Inyectable</v>
          </cell>
          <cell r="H152">
            <v>15</v>
          </cell>
          <cell r="I152" t="str">
            <v>Efectivo</v>
          </cell>
        </row>
        <row r="153">
          <cell r="A153" t="str">
            <v>Febrero</v>
          </cell>
          <cell r="D153" t="str">
            <v>Ingreso</v>
          </cell>
          <cell r="F153" t="str">
            <v>Servicio</v>
          </cell>
          <cell r="G153" t="str">
            <v>Inyectable</v>
          </cell>
          <cell r="H153">
            <v>20</v>
          </cell>
          <cell r="I153" t="str">
            <v>Efectivo</v>
          </cell>
        </row>
        <row r="154">
          <cell r="A154" t="str">
            <v>Febrero</v>
          </cell>
          <cell r="D154" t="str">
            <v>Ingreso</v>
          </cell>
          <cell r="F154" t="str">
            <v>Producto</v>
          </cell>
          <cell r="H154">
            <v>10</v>
          </cell>
          <cell r="I154" t="str">
            <v>Efectivo</v>
          </cell>
        </row>
        <row r="155">
          <cell r="A155" t="str">
            <v>Febrero</v>
          </cell>
          <cell r="D155" t="str">
            <v>Ingreso</v>
          </cell>
          <cell r="F155" t="str">
            <v>Producto</v>
          </cell>
          <cell r="H155">
            <v>11.5</v>
          </cell>
          <cell r="I155" t="str">
            <v>Efectivo</v>
          </cell>
        </row>
        <row r="156">
          <cell r="A156" t="str">
            <v>Febrero</v>
          </cell>
          <cell r="D156" t="str">
            <v>Egreso</v>
          </cell>
          <cell r="H156">
            <v>8</v>
          </cell>
          <cell r="I156" t="str">
            <v>Efectivo</v>
          </cell>
        </row>
        <row r="157">
          <cell r="A157" t="str">
            <v>Febrero</v>
          </cell>
          <cell r="D157" t="str">
            <v>Ingreso</v>
          </cell>
          <cell r="F157" t="str">
            <v>Producto</v>
          </cell>
          <cell r="H157">
            <v>15</v>
          </cell>
          <cell r="I157" t="str">
            <v>Efectivo</v>
          </cell>
        </row>
        <row r="158">
          <cell r="A158" t="str">
            <v>Febrero</v>
          </cell>
          <cell r="D158" t="str">
            <v>Ingreso</v>
          </cell>
          <cell r="F158" t="str">
            <v>Producto</v>
          </cell>
          <cell r="H158">
            <v>4</v>
          </cell>
          <cell r="I158" t="str">
            <v>Efectivo</v>
          </cell>
        </row>
        <row r="159">
          <cell r="A159" t="str">
            <v>Febrero</v>
          </cell>
          <cell r="D159" t="str">
            <v>Ingreso</v>
          </cell>
          <cell r="F159" t="str">
            <v>Producto</v>
          </cell>
          <cell r="H159">
            <v>15</v>
          </cell>
          <cell r="I159" t="str">
            <v>Yape</v>
          </cell>
        </row>
        <row r="160">
          <cell r="A160" t="str">
            <v>Febrero</v>
          </cell>
          <cell r="D160" t="str">
            <v>Ingreso</v>
          </cell>
          <cell r="F160" t="str">
            <v>Producto</v>
          </cell>
          <cell r="H160">
            <v>5</v>
          </cell>
          <cell r="I160" t="str">
            <v>Efectivo</v>
          </cell>
        </row>
        <row r="161">
          <cell r="A161" t="str">
            <v>Febrero</v>
          </cell>
          <cell r="D161" t="str">
            <v>Ingreso</v>
          </cell>
          <cell r="F161" t="str">
            <v>Producto</v>
          </cell>
          <cell r="H161">
            <v>5</v>
          </cell>
          <cell r="I161" t="str">
            <v>Efectivo</v>
          </cell>
        </row>
        <row r="162">
          <cell r="A162" t="str">
            <v>Febrero</v>
          </cell>
          <cell r="D162" t="str">
            <v>Ingreso</v>
          </cell>
          <cell r="F162" t="str">
            <v>Servicio</v>
          </cell>
          <cell r="G162" t="str">
            <v>Baño</v>
          </cell>
          <cell r="H162">
            <v>25</v>
          </cell>
          <cell r="I162" t="str">
            <v>Efectivo</v>
          </cell>
        </row>
        <row r="163">
          <cell r="A163" t="str">
            <v>Febrero</v>
          </cell>
          <cell r="D163" t="str">
            <v>Ingreso</v>
          </cell>
          <cell r="F163" t="str">
            <v>Servicio</v>
          </cell>
          <cell r="G163" t="str">
            <v>Cirugía / Esterilización</v>
          </cell>
          <cell r="H163">
            <v>80</v>
          </cell>
          <cell r="I163" t="str">
            <v>Efectivo</v>
          </cell>
        </row>
        <row r="164">
          <cell r="A164" t="str">
            <v>Febrero</v>
          </cell>
          <cell r="D164" t="str">
            <v>Ingreso</v>
          </cell>
          <cell r="F164" t="str">
            <v>Producto</v>
          </cell>
          <cell r="H164">
            <v>20</v>
          </cell>
          <cell r="I164" t="str">
            <v>Efectivo</v>
          </cell>
        </row>
        <row r="165">
          <cell r="A165" t="str">
            <v>Febrero</v>
          </cell>
          <cell r="D165" t="str">
            <v>Ingreso</v>
          </cell>
          <cell r="F165" t="str">
            <v>Producto</v>
          </cell>
          <cell r="H165">
            <v>5</v>
          </cell>
          <cell r="I165" t="str">
            <v>Efectivo</v>
          </cell>
        </row>
        <row r="166">
          <cell r="A166" t="str">
            <v>Febrero</v>
          </cell>
          <cell r="D166" t="str">
            <v>Ingreso</v>
          </cell>
          <cell r="F166" t="str">
            <v>Producto</v>
          </cell>
          <cell r="H166">
            <v>20</v>
          </cell>
          <cell r="I166" t="str">
            <v>Efectivo</v>
          </cell>
        </row>
        <row r="167">
          <cell r="A167" t="str">
            <v>Febrero</v>
          </cell>
          <cell r="D167" t="str">
            <v>Ingreso</v>
          </cell>
          <cell r="F167" t="str">
            <v>Producto</v>
          </cell>
          <cell r="H167">
            <v>5</v>
          </cell>
          <cell r="I167" t="str">
            <v>Efectivo</v>
          </cell>
        </row>
        <row r="168">
          <cell r="A168" t="str">
            <v>Febrero</v>
          </cell>
          <cell r="D168" t="str">
            <v>Ingreso</v>
          </cell>
          <cell r="F168" t="str">
            <v>Producto</v>
          </cell>
          <cell r="H168">
            <v>10</v>
          </cell>
          <cell r="I168" t="str">
            <v>Efectivo</v>
          </cell>
        </row>
        <row r="169">
          <cell r="A169" t="str">
            <v>Febrero</v>
          </cell>
          <cell r="D169" t="str">
            <v>Ingreso</v>
          </cell>
          <cell r="F169" t="str">
            <v>Servicio</v>
          </cell>
          <cell r="G169" t="str">
            <v>Cirugía / Esterilización</v>
          </cell>
          <cell r="H169">
            <v>120</v>
          </cell>
          <cell r="I169" t="str">
            <v>Efectivo</v>
          </cell>
        </row>
        <row r="170">
          <cell r="A170" t="str">
            <v>Febrero</v>
          </cell>
          <cell r="D170" t="str">
            <v>Ingreso</v>
          </cell>
          <cell r="F170" t="str">
            <v>Producto</v>
          </cell>
          <cell r="H170">
            <v>11.5</v>
          </cell>
          <cell r="I170" t="str">
            <v>Efectivo</v>
          </cell>
        </row>
        <row r="171">
          <cell r="A171" t="str">
            <v>Febrero</v>
          </cell>
          <cell r="D171" t="str">
            <v>Ingreso</v>
          </cell>
          <cell r="F171" t="str">
            <v>Producto</v>
          </cell>
          <cell r="H171">
            <v>6</v>
          </cell>
          <cell r="I171" t="str">
            <v>Efectivo</v>
          </cell>
        </row>
        <row r="172">
          <cell r="A172" t="str">
            <v>Febrero</v>
          </cell>
          <cell r="D172" t="str">
            <v>Ingreso</v>
          </cell>
          <cell r="F172" t="str">
            <v>Producto</v>
          </cell>
          <cell r="H172">
            <v>25</v>
          </cell>
          <cell r="I172" t="str">
            <v>Efectivo</v>
          </cell>
        </row>
        <row r="173">
          <cell r="A173" t="str">
            <v>Febrero</v>
          </cell>
          <cell r="D173" t="str">
            <v>Ingreso</v>
          </cell>
          <cell r="F173" t="str">
            <v>Servicio</v>
          </cell>
          <cell r="G173" t="str">
            <v>Inyectable</v>
          </cell>
          <cell r="H173">
            <v>60</v>
          </cell>
          <cell r="I173" t="str">
            <v>Yape</v>
          </cell>
        </row>
        <row r="174">
          <cell r="A174" t="str">
            <v>Febrero</v>
          </cell>
          <cell r="D174" t="str">
            <v>Ingreso</v>
          </cell>
          <cell r="F174" t="str">
            <v>Producto</v>
          </cell>
          <cell r="H174">
            <v>30</v>
          </cell>
          <cell r="I174" t="str">
            <v>Yape</v>
          </cell>
        </row>
        <row r="175">
          <cell r="A175" t="str">
            <v>Febrero</v>
          </cell>
          <cell r="D175" t="str">
            <v>Ingreso</v>
          </cell>
          <cell r="F175" t="str">
            <v>Producto</v>
          </cell>
          <cell r="H175">
            <v>300</v>
          </cell>
          <cell r="I175" t="str">
            <v>Efectivo</v>
          </cell>
        </row>
        <row r="176">
          <cell r="A176" t="str">
            <v>Febrero</v>
          </cell>
          <cell r="D176" t="str">
            <v>Ingreso</v>
          </cell>
          <cell r="F176" t="str">
            <v>Producto</v>
          </cell>
          <cell r="H176">
            <v>33</v>
          </cell>
          <cell r="I176" t="str">
            <v>Efectivo</v>
          </cell>
        </row>
        <row r="177">
          <cell r="A177" t="str">
            <v>Febrero</v>
          </cell>
          <cell r="D177" t="str">
            <v>Ingreso</v>
          </cell>
          <cell r="F177" t="str">
            <v>Servicio</v>
          </cell>
          <cell r="G177" t="str">
            <v>Baño y Corte</v>
          </cell>
          <cell r="H177">
            <v>40</v>
          </cell>
          <cell r="I177" t="str">
            <v>Efectivo</v>
          </cell>
        </row>
        <row r="178">
          <cell r="A178" t="str">
            <v>Febrero</v>
          </cell>
          <cell r="D178" t="str">
            <v>Ingreso</v>
          </cell>
          <cell r="F178" t="str">
            <v>Servicio</v>
          </cell>
          <cell r="G178" t="str">
            <v>Baño y Corte</v>
          </cell>
          <cell r="H178">
            <v>60</v>
          </cell>
          <cell r="I178" t="str">
            <v>Efectivo</v>
          </cell>
        </row>
        <row r="179">
          <cell r="A179" t="str">
            <v>Febrero</v>
          </cell>
          <cell r="D179" t="str">
            <v>Ingreso</v>
          </cell>
          <cell r="F179" t="str">
            <v>Producto</v>
          </cell>
          <cell r="H179">
            <v>45</v>
          </cell>
          <cell r="I179" t="str">
            <v>Efectivo</v>
          </cell>
        </row>
        <row r="180">
          <cell r="A180" t="str">
            <v>Febrero</v>
          </cell>
          <cell r="D180" t="str">
            <v>Ingreso</v>
          </cell>
          <cell r="F180" t="str">
            <v>Servicio</v>
          </cell>
          <cell r="G180" t="str">
            <v>Baño y Corte</v>
          </cell>
          <cell r="H180">
            <v>35</v>
          </cell>
          <cell r="I180" t="str">
            <v>Efectivo</v>
          </cell>
        </row>
        <row r="181">
          <cell r="A181" t="str">
            <v>Febrero</v>
          </cell>
          <cell r="D181" t="str">
            <v>Ingreso</v>
          </cell>
          <cell r="F181" t="str">
            <v>Servicio</v>
          </cell>
          <cell r="G181" t="str">
            <v>Baño y Corte</v>
          </cell>
          <cell r="H181">
            <v>35</v>
          </cell>
          <cell r="I181" t="str">
            <v>Efectivo</v>
          </cell>
        </row>
        <row r="182">
          <cell r="A182" t="str">
            <v>Febrero</v>
          </cell>
          <cell r="D182" t="str">
            <v>Ingreso</v>
          </cell>
          <cell r="F182" t="str">
            <v>Servicio</v>
          </cell>
          <cell r="G182" t="str">
            <v>Baño y Corte</v>
          </cell>
          <cell r="H182">
            <v>35</v>
          </cell>
          <cell r="I182" t="str">
            <v>Efectivo</v>
          </cell>
        </row>
        <row r="183">
          <cell r="A183" t="str">
            <v>Febrero</v>
          </cell>
          <cell r="D183" t="str">
            <v>Ingreso</v>
          </cell>
          <cell r="F183" t="str">
            <v>Producto</v>
          </cell>
          <cell r="H183">
            <v>100</v>
          </cell>
          <cell r="I183" t="str">
            <v>Yape</v>
          </cell>
        </row>
        <row r="184">
          <cell r="A184" t="str">
            <v>Febrero</v>
          </cell>
          <cell r="D184" t="str">
            <v>Ingreso</v>
          </cell>
          <cell r="F184" t="str">
            <v>Servicio</v>
          </cell>
          <cell r="G184" t="str">
            <v>Tratamiento</v>
          </cell>
          <cell r="H184">
            <v>70</v>
          </cell>
          <cell r="I184" t="str">
            <v>Efectivo</v>
          </cell>
        </row>
        <row r="185">
          <cell r="A185" t="str">
            <v>Febrero</v>
          </cell>
          <cell r="D185" t="str">
            <v>Ingreso</v>
          </cell>
          <cell r="F185" t="str">
            <v>Servicio</v>
          </cell>
          <cell r="G185" t="str">
            <v>Baño y Corte</v>
          </cell>
          <cell r="H185">
            <v>35</v>
          </cell>
          <cell r="I185" t="str">
            <v>Yape</v>
          </cell>
        </row>
        <row r="186">
          <cell r="A186" t="str">
            <v>Febrero</v>
          </cell>
          <cell r="D186" t="str">
            <v>Ingreso</v>
          </cell>
          <cell r="F186" t="str">
            <v>Producto</v>
          </cell>
          <cell r="H186">
            <v>20</v>
          </cell>
          <cell r="I186" t="str">
            <v>Efectivo</v>
          </cell>
        </row>
        <row r="187">
          <cell r="A187" t="str">
            <v>Febrero</v>
          </cell>
          <cell r="D187" t="str">
            <v>Ingreso</v>
          </cell>
          <cell r="F187" t="str">
            <v>Servicio</v>
          </cell>
          <cell r="G187" t="str">
            <v>Tratamiento</v>
          </cell>
          <cell r="H187">
            <v>60</v>
          </cell>
          <cell r="I187" t="str">
            <v>Efectivo</v>
          </cell>
        </row>
        <row r="188">
          <cell r="A188" t="str">
            <v>Febrero</v>
          </cell>
          <cell r="D188" t="str">
            <v>Ingreso</v>
          </cell>
          <cell r="F188" t="str">
            <v>Producto</v>
          </cell>
          <cell r="H188">
            <v>70</v>
          </cell>
          <cell r="I188" t="str">
            <v>Efectivo</v>
          </cell>
        </row>
        <row r="189">
          <cell r="A189" t="str">
            <v>Febrero</v>
          </cell>
          <cell r="D189" t="str">
            <v>Ingreso</v>
          </cell>
          <cell r="F189" t="str">
            <v>Producto</v>
          </cell>
          <cell r="H189">
            <v>14</v>
          </cell>
          <cell r="I189" t="str">
            <v>Efectivo</v>
          </cell>
        </row>
        <row r="190">
          <cell r="A190" t="str">
            <v>Febrero</v>
          </cell>
          <cell r="D190" t="str">
            <v>Ingreso</v>
          </cell>
          <cell r="F190" t="str">
            <v>Producto</v>
          </cell>
          <cell r="H190">
            <v>5</v>
          </cell>
          <cell r="I190" t="str">
            <v>Efectivo</v>
          </cell>
        </row>
        <row r="191">
          <cell r="A191" t="str">
            <v>Febrero</v>
          </cell>
          <cell r="D191" t="str">
            <v>Ingreso</v>
          </cell>
          <cell r="F191" t="str">
            <v>Servicio</v>
          </cell>
          <cell r="G191" t="str">
            <v>Tratamiento</v>
          </cell>
          <cell r="H191">
            <v>60</v>
          </cell>
          <cell r="I191" t="str">
            <v>Efectivo</v>
          </cell>
        </row>
        <row r="192">
          <cell r="A192" t="str">
            <v>Febrero</v>
          </cell>
          <cell r="D192" t="str">
            <v>Ingreso</v>
          </cell>
          <cell r="F192" t="str">
            <v>Servicio</v>
          </cell>
          <cell r="G192" t="str">
            <v>Vacuna</v>
          </cell>
          <cell r="H192">
            <v>40</v>
          </cell>
          <cell r="I192" t="str">
            <v>Efectivo</v>
          </cell>
        </row>
        <row r="193">
          <cell r="A193" t="str">
            <v>Febrero</v>
          </cell>
          <cell r="D193" t="str">
            <v>Ingreso</v>
          </cell>
          <cell r="F193" t="str">
            <v>Servicio</v>
          </cell>
          <cell r="G193" t="str">
            <v>Vacuna</v>
          </cell>
          <cell r="H193">
            <v>40</v>
          </cell>
          <cell r="I193" t="str">
            <v>Efectivo</v>
          </cell>
        </row>
        <row r="194">
          <cell r="A194" t="str">
            <v>Febrero</v>
          </cell>
          <cell r="D194" t="str">
            <v>Ingreso</v>
          </cell>
          <cell r="F194" t="str">
            <v>Servicio</v>
          </cell>
          <cell r="G194" t="str">
            <v>Vacuna</v>
          </cell>
          <cell r="H194">
            <v>40</v>
          </cell>
          <cell r="I194" t="str">
            <v>Efectivo</v>
          </cell>
        </row>
        <row r="195">
          <cell r="A195" t="str">
            <v>Febrero</v>
          </cell>
          <cell r="D195" t="str">
            <v>Ingreso</v>
          </cell>
          <cell r="F195" t="str">
            <v>Producto</v>
          </cell>
          <cell r="H195">
            <v>20</v>
          </cell>
          <cell r="I195" t="str">
            <v>Efectivo</v>
          </cell>
        </row>
        <row r="196">
          <cell r="A196" t="str">
            <v>Febrero</v>
          </cell>
          <cell r="D196" t="str">
            <v>Ingreso</v>
          </cell>
          <cell r="F196" t="str">
            <v>Producto</v>
          </cell>
          <cell r="H196">
            <v>6</v>
          </cell>
          <cell r="I196" t="str">
            <v>Efectivo</v>
          </cell>
        </row>
        <row r="197">
          <cell r="A197" t="str">
            <v>Febrero</v>
          </cell>
          <cell r="D197" t="str">
            <v>Ingreso</v>
          </cell>
          <cell r="F197" t="str">
            <v>Producto</v>
          </cell>
          <cell r="H197">
            <v>10</v>
          </cell>
          <cell r="I197" t="str">
            <v>Efectivo</v>
          </cell>
        </row>
        <row r="198">
          <cell r="A198" t="str">
            <v>Febrero</v>
          </cell>
          <cell r="D198" t="str">
            <v>Ingreso</v>
          </cell>
          <cell r="F198" t="str">
            <v>Producto</v>
          </cell>
          <cell r="H198">
            <v>25</v>
          </cell>
          <cell r="I198" t="str">
            <v>Efectivo</v>
          </cell>
        </row>
        <row r="199">
          <cell r="A199" t="str">
            <v>Febrero</v>
          </cell>
          <cell r="D199" t="str">
            <v>Ingreso</v>
          </cell>
          <cell r="F199" t="str">
            <v>Producto</v>
          </cell>
          <cell r="H199">
            <v>24</v>
          </cell>
          <cell r="I199" t="str">
            <v>Efectivo</v>
          </cell>
        </row>
        <row r="200">
          <cell r="A200" t="str">
            <v>Febrero</v>
          </cell>
          <cell r="D200" t="str">
            <v>Ingreso</v>
          </cell>
          <cell r="F200" t="str">
            <v>Producto</v>
          </cell>
          <cell r="H200">
            <v>10</v>
          </cell>
          <cell r="I200" t="str">
            <v>Efectivo</v>
          </cell>
        </row>
        <row r="201">
          <cell r="A201" t="str">
            <v>Febrero</v>
          </cell>
          <cell r="D201" t="str">
            <v>Ingreso</v>
          </cell>
          <cell r="F201" t="str">
            <v>Producto</v>
          </cell>
          <cell r="H201">
            <v>5</v>
          </cell>
          <cell r="I201" t="str">
            <v>Efectivo</v>
          </cell>
        </row>
        <row r="202">
          <cell r="A202" t="str">
            <v>Febrero</v>
          </cell>
          <cell r="D202" t="str">
            <v>Ingreso</v>
          </cell>
          <cell r="F202" t="str">
            <v>Producto</v>
          </cell>
          <cell r="H202">
            <v>10</v>
          </cell>
          <cell r="I202" t="str">
            <v>Efectivo</v>
          </cell>
        </row>
        <row r="203">
          <cell r="A203" t="str">
            <v>Febrero</v>
          </cell>
          <cell r="D203" t="str">
            <v>Ingreso</v>
          </cell>
          <cell r="F203" t="str">
            <v>Producto</v>
          </cell>
          <cell r="H203">
            <v>56</v>
          </cell>
          <cell r="I203" t="str">
            <v>Yape</v>
          </cell>
        </row>
        <row r="204">
          <cell r="A204" t="str">
            <v>Febrero</v>
          </cell>
          <cell r="D204" t="str">
            <v>Ingreso</v>
          </cell>
          <cell r="F204" t="str">
            <v>Servicio</v>
          </cell>
          <cell r="G204" t="str">
            <v>Baño y Corte</v>
          </cell>
          <cell r="H204">
            <v>55</v>
          </cell>
          <cell r="I204" t="str">
            <v>Yape</v>
          </cell>
        </row>
        <row r="205">
          <cell r="A205" t="str">
            <v>Febrero</v>
          </cell>
          <cell r="D205" t="str">
            <v>Ingreso</v>
          </cell>
          <cell r="F205" t="str">
            <v>Producto</v>
          </cell>
          <cell r="H205">
            <v>25</v>
          </cell>
          <cell r="I205" t="str">
            <v>Efectivo</v>
          </cell>
        </row>
        <row r="206">
          <cell r="A206" t="str">
            <v>Febrero</v>
          </cell>
          <cell r="D206" t="str">
            <v>Ingreso</v>
          </cell>
          <cell r="F206" t="str">
            <v>Producto</v>
          </cell>
          <cell r="H206">
            <v>15</v>
          </cell>
          <cell r="I206" t="str">
            <v>Efectivo</v>
          </cell>
        </row>
        <row r="207">
          <cell r="A207" t="str">
            <v>Febrero</v>
          </cell>
          <cell r="D207" t="str">
            <v>Ingreso</v>
          </cell>
          <cell r="F207" t="str">
            <v>Servicio</v>
          </cell>
          <cell r="G207" t="str">
            <v>Tratamiento</v>
          </cell>
          <cell r="H207">
            <v>30</v>
          </cell>
          <cell r="I207" t="str">
            <v>Efectivo</v>
          </cell>
        </row>
        <row r="208">
          <cell r="A208" t="str">
            <v>Febrero</v>
          </cell>
          <cell r="D208" t="str">
            <v>Ingreso</v>
          </cell>
          <cell r="F208" t="str">
            <v>Producto</v>
          </cell>
          <cell r="H208">
            <v>28</v>
          </cell>
          <cell r="I208" t="str">
            <v>Efectivo</v>
          </cell>
        </row>
        <row r="209">
          <cell r="A209" t="str">
            <v>Febrero</v>
          </cell>
          <cell r="D209" t="str">
            <v>Ingreso</v>
          </cell>
          <cell r="F209" t="str">
            <v>Producto</v>
          </cell>
          <cell r="H209">
            <v>30</v>
          </cell>
          <cell r="I209" t="str">
            <v>Efectivo</v>
          </cell>
        </row>
        <row r="210">
          <cell r="A210" t="str">
            <v>Febrero</v>
          </cell>
          <cell r="D210" t="str">
            <v>Ingreso</v>
          </cell>
          <cell r="F210" t="str">
            <v>Producto</v>
          </cell>
          <cell r="H210">
            <v>30</v>
          </cell>
          <cell r="I210" t="str">
            <v>Efectivo</v>
          </cell>
        </row>
        <row r="211">
          <cell r="A211" t="str">
            <v>Febrero</v>
          </cell>
          <cell r="D211" t="str">
            <v>Ingreso</v>
          </cell>
          <cell r="F211" t="str">
            <v>Servicio</v>
          </cell>
          <cell r="G211" t="str">
            <v>Inyectable</v>
          </cell>
          <cell r="H211">
            <v>35</v>
          </cell>
          <cell r="I211" t="str">
            <v>Efectivo</v>
          </cell>
        </row>
        <row r="212">
          <cell r="A212" t="str">
            <v>Febrero</v>
          </cell>
          <cell r="D212" t="str">
            <v>Ingreso</v>
          </cell>
          <cell r="F212" t="str">
            <v>Producto</v>
          </cell>
          <cell r="H212">
            <v>9</v>
          </cell>
          <cell r="I212" t="str">
            <v>Efectivo</v>
          </cell>
        </row>
        <row r="213">
          <cell r="A213" t="str">
            <v>Febrero</v>
          </cell>
          <cell r="D213" t="str">
            <v>Ingreso</v>
          </cell>
          <cell r="F213" t="str">
            <v>Servicio</v>
          </cell>
          <cell r="G213" t="str">
            <v>Desparasitación</v>
          </cell>
          <cell r="H213">
            <v>10</v>
          </cell>
          <cell r="I213" t="str">
            <v>Yape</v>
          </cell>
        </row>
        <row r="214">
          <cell r="A214" t="str">
            <v>Febrero</v>
          </cell>
          <cell r="D214" t="str">
            <v>Ingreso</v>
          </cell>
          <cell r="F214" t="str">
            <v>Producto</v>
          </cell>
          <cell r="H214">
            <v>5</v>
          </cell>
          <cell r="I214" t="str">
            <v>Efectivo</v>
          </cell>
        </row>
        <row r="215">
          <cell r="A215" t="str">
            <v>Febrero</v>
          </cell>
          <cell r="D215" t="str">
            <v>Ingreso</v>
          </cell>
          <cell r="F215" t="str">
            <v>Producto</v>
          </cell>
          <cell r="H215">
            <v>35</v>
          </cell>
          <cell r="I215" t="str">
            <v>Efectivo</v>
          </cell>
        </row>
        <row r="216">
          <cell r="A216" t="str">
            <v>Febrero</v>
          </cell>
          <cell r="D216" t="str">
            <v>Ingreso</v>
          </cell>
          <cell r="F216" t="str">
            <v>Servicio</v>
          </cell>
          <cell r="G216" t="str">
            <v>Baño</v>
          </cell>
          <cell r="H216">
            <v>110</v>
          </cell>
          <cell r="I216" t="str">
            <v>Yape</v>
          </cell>
        </row>
        <row r="217">
          <cell r="A217" t="str">
            <v>Febrero</v>
          </cell>
          <cell r="D217" t="str">
            <v>Egreso</v>
          </cell>
          <cell r="H217">
            <v>30</v>
          </cell>
          <cell r="I217" t="str">
            <v>Yape</v>
          </cell>
        </row>
        <row r="218">
          <cell r="A218" t="str">
            <v>Febrero</v>
          </cell>
          <cell r="D218" t="str">
            <v>Ingreso</v>
          </cell>
          <cell r="F218" t="str">
            <v>Servicio</v>
          </cell>
          <cell r="G218" t="str">
            <v>Baño y Corte</v>
          </cell>
          <cell r="H218">
            <v>35</v>
          </cell>
          <cell r="I218" t="str">
            <v>Efectivo</v>
          </cell>
        </row>
        <row r="219">
          <cell r="A219" t="str">
            <v>Febrero</v>
          </cell>
          <cell r="D219" t="str">
            <v>Ingreso</v>
          </cell>
          <cell r="F219" t="str">
            <v>Servicio</v>
          </cell>
          <cell r="G219" t="str">
            <v>Baño y Corte</v>
          </cell>
          <cell r="H219">
            <v>40</v>
          </cell>
          <cell r="I219" t="str">
            <v>Efectivo</v>
          </cell>
        </row>
        <row r="220">
          <cell r="A220" t="str">
            <v>Febrero</v>
          </cell>
          <cell r="D220" t="str">
            <v>Ingreso</v>
          </cell>
          <cell r="F220" t="str">
            <v>Producto</v>
          </cell>
          <cell r="H220">
            <v>35</v>
          </cell>
          <cell r="I220" t="str">
            <v>Yape</v>
          </cell>
        </row>
        <row r="221">
          <cell r="A221" t="str">
            <v>Febrero</v>
          </cell>
          <cell r="D221" t="str">
            <v>Ingreso</v>
          </cell>
          <cell r="F221" t="str">
            <v>Servicio</v>
          </cell>
          <cell r="G221" t="str">
            <v>Tratamiento</v>
          </cell>
          <cell r="H221">
            <v>60</v>
          </cell>
          <cell r="I221" t="str">
            <v>Yape</v>
          </cell>
        </row>
        <row r="222">
          <cell r="A222" t="str">
            <v>Febrero</v>
          </cell>
          <cell r="D222" t="str">
            <v>Ingreso</v>
          </cell>
          <cell r="F222" t="str">
            <v>Servicio</v>
          </cell>
          <cell r="G222" t="str">
            <v>Baño y Corte</v>
          </cell>
          <cell r="H222">
            <v>30</v>
          </cell>
          <cell r="I222" t="str">
            <v>Efectivo</v>
          </cell>
        </row>
        <row r="223">
          <cell r="A223" t="str">
            <v>Febrero</v>
          </cell>
          <cell r="D223" t="str">
            <v>Ingreso</v>
          </cell>
          <cell r="F223" t="str">
            <v>Producto</v>
          </cell>
          <cell r="H223">
            <v>80</v>
          </cell>
          <cell r="I223" t="str">
            <v>Efectivo</v>
          </cell>
        </row>
        <row r="224">
          <cell r="A224" t="str">
            <v>Febrero</v>
          </cell>
          <cell r="D224" t="str">
            <v>Ingreso</v>
          </cell>
          <cell r="F224" t="str">
            <v>Producto</v>
          </cell>
          <cell r="H224">
            <v>15</v>
          </cell>
          <cell r="I224" t="str">
            <v>Efectivo</v>
          </cell>
        </row>
        <row r="225">
          <cell r="A225" t="str">
            <v>Febrero</v>
          </cell>
          <cell r="D225" t="str">
            <v>Ingreso</v>
          </cell>
          <cell r="F225" t="str">
            <v>Servicio</v>
          </cell>
          <cell r="G225" t="str">
            <v>Baño y Corte</v>
          </cell>
          <cell r="H225">
            <v>35</v>
          </cell>
          <cell r="I225" t="str">
            <v>Yape</v>
          </cell>
        </row>
        <row r="226">
          <cell r="A226" t="str">
            <v>Febrero</v>
          </cell>
          <cell r="D226" t="str">
            <v>Ingreso</v>
          </cell>
          <cell r="F226" t="str">
            <v>Producto</v>
          </cell>
          <cell r="H226">
            <v>26</v>
          </cell>
          <cell r="I226" t="str">
            <v>Efectivo</v>
          </cell>
        </row>
        <row r="227">
          <cell r="A227" t="str">
            <v>Febrero</v>
          </cell>
          <cell r="D227" t="str">
            <v>Ingreso</v>
          </cell>
          <cell r="F227" t="str">
            <v>Producto</v>
          </cell>
          <cell r="H227">
            <v>15</v>
          </cell>
          <cell r="I227" t="str">
            <v>Efectivo</v>
          </cell>
        </row>
        <row r="228">
          <cell r="A228" t="str">
            <v>Febrero</v>
          </cell>
          <cell r="D228" t="str">
            <v>Ingreso</v>
          </cell>
          <cell r="F228" t="str">
            <v>Servicio</v>
          </cell>
          <cell r="G228" t="str">
            <v>Tratamiento</v>
          </cell>
          <cell r="H228">
            <v>30</v>
          </cell>
          <cell r="I228" t="str">
            <v>Efectivo</v>
          </cell>
        </row>
        <row r="229">
          <cell r="A229" t="str">
            <v>Febrero</v>
          </cell>
          <cell r="D229" t="str">
            <v>Egreso</v>
          </cell>
          <cell r="H229">
            <v>20</v>
          </cell>
          <cell r="I229" t="str">
            <v>Efectivo</v>
          </cell>
        </row>
        <row r="230">
          <cell r="A230" t="str">
            <v>Febrero</v>
          </cell>
          <cell r="D230" t="str">
            <v>Ingreso</v>
          </cell>
          <cell r="F230" t="str">
            <v>Servicio</v>
          </cell>
          <cell r="G230" t="str">
            <v>Vacuna</v>
          </cell>
          <cell r="H230">
            <v>160</v>
          </cell>
          <cell r="I230" t="str">
            <v>Mixto</v>
          </cell>
        </row>
        <row r="231">
          <cell r="A231" t="str">
            <v>Febrero</v>
          </cell>
          <cell r="D231" t="str">
            <v>Egreso</v>
          </cell>
          <cell r="H231">
            <v>10</v>
          </cell>
          <cell r="I231" t="str">
            <v>Mixto</v>
          </cell>
        </row>
        <row r="232">
          <cell r="A232" t="str">
            <v>Febrero</v>
          </cell>
          <cell r="D232" t="str">
            <v>Ingreso</v>
          </cell>
          <cell r="F232" t="str">
            <v>Servicio</v>
          </cell>
          <cell r="G232" t="str">
            <v>Baño y Corte</v>
          </cell>
          <cell r="H232">
            <v>40</v>
          </cell>
          <cell r="I232" t="str">
            <v>Yape</v>
          </cell>
        </row>
        <row r="233">
          <cell r="A233" t="str">
            <v>Febrero</v>
          </cell>
          <cell r="D233" t="str">
            <v>Egreso</v>
          </cell>
          <cell r="H233">
            <v>50</v>
          </cell>
          <cell r="I233" t="str">
            <v>Yape</v>
          </cell>
        </row>
        <row r="234">
          <cell r="A234" t="str">
            <v>Febrero</v>
          </cell>
          <cell r="D234" t="str">
            <v>Ingreso</v>
          </cell>
          <cell r="F234" t="str">
            <v>Servicio</v>
          </cell>
          <cell r="G234" t="str">
            <v>Tratamiento</v>
          </cell>
          <cell r="H234">
            <v>70</v>
          </cell>
          <cell r="I234" t="str">
            <v>Efectivo</v>
          </cell>
        </row>
        <row r="235">
          <cell r="A235" t="str">
            <v>Febrero</v>
          </cell>
          <cell r="D235" t="str">
            <v>Egreso</v>
          </cell>
          <cell r="H235">
            <v>18</v>
          </cell>
          <cell r="I235" t="str">
            <v>Efectivo</v>
          </cell>
        </row>
        <row r="236">
          <cell r="A236" t="str">
            <v>Febrero</v>
          </cell>
          <cell r="D236" t="str">
            <v>Ingreso</v>
          </cell>
          <cell r="F236" t="str">
            <v>Producto</v>
          </cell>
          <cell r="H236">
            <v>15</v>
          </cell>
          <cell r="I236" t="str">
            <v>Efectivo</v>
          </cell>
        </row>
        <row r="237">
          <cell r="A237" t="str">
            <v>Marzo</v>
          </cell>
          <cell r="D237" t="str">
            <v>Ingreso</v>
          </cell>
          <cell r="F237" t="str">
            <v>Producto</v>
          </cell>
          <cell r="H237">
            <v>5</v>
          </cell>
          <cell r="I237" t="str">
            <v>Efectivo</v>
          </cell>
        </row>
        <row r="238">
          <cell r="A238" t="str">
            <v>Marzo</v>
          </cell>
          <cell r="D238" t="str">
            <v>Ingreso</v>
          </cell>
          <cell r="F238" t="str">
            <v>Producto</v>
          </cell>
          <cell r="H238">
            <v>10</v>
          </cell>
          <cell r="I238" t="str">
            <v>Efectivo</v>
          </cell>
        </row>
        <row r="239">
          <cell r="A239" t="str">
            <v>Marzo</v>
          </cell>
          <cell r="D239" t="str">
            <v>Ingreso</v>
          </cell>
          <cell r="F239" t="str">
            <v>Producto</v>
          </cell>
          <cell r="H239">
            <v>7</v>
          </cell>
          <cell r="I239" t="str">
            <v>Efectivo</v>
          </cell>
        </row>
        <row r="240">
          <cell r="A240" t="str">
            <v>Marzo</v>
          </cell>
          <cell r="D240" t="str">
            <v>Ingreso</v>
          </cell>
          <cell r="F240" t="str">
            <v>Servicio</v>
          </cell>
          <cell r="G240" t="str">
            <v>Baño y Corte</v>
          </cell>
          <cell r="H240">
            <v>35</v>
          </cell>
          <cell r="I240" t="str">
            <v>Efectivo</v>
          </cell>
        </row>
        <row r="241">
          <cell r="A241" t="str">
            <v>Marzo</v>
          </cell>
          <cell r="D241" t="str">
            <v>Ingreso</v>
          </cell>
          <cell r="F241" t="str">
            <v>Producto</v>
          </cell>
          <cell r="H241">
            <v>6</v>
          </cell>
          <cell r="I241" t="str">
            <v>Efectivo</v>
          </cell>
        </row>
        <row r="242">
          <cell r="A242" t="str">
            <v>Marzo</v>
          </cell>
          <cell r="D242" t="str">
            <v>Ingreso</v>
          </cell>
          <cell r="F242" t="str">
            <v>Producto</v>
          </cell>
          <cell r="H242">
            <v>105</v>
          </cell>
          <cell r="I242" t="str">
            <v>Efectivo</v>
          </cell>
        </row>
        <row r="243">
          <cell r="A243" t="str">
            <v>Marzo</v>
          </cell>
          <cell r="D243" t="str">
            <v>Ingreso</v>
          </cell>
          <cell r="F243" t="str">
            <v>Producto</v>
          </cell>
          <cell r="H243">
            <v>30</v>
          </cell>
          <cell r="I243" t="str">
            <v>Yape</v>
          </cell>
        </row>
        <row r="244">
          <cell r="A244" t="str">
            <v>Marzo</v>
          </cell>
          <cell r="D244" t="str">
            <v>Ingreso</v>
          </cell>
          <cell r="F244" t="str">
            <v>Producto</v>
          </cell>
          <cell r="H244">
            <v>92</v>
          </cell>
          <cell r="I244" t="str">
            <v>Efectivo</v>
          </cell>
        </row>
        <row r="245">
          <cell r="A245" t="str">
            <v>Marzo</v>
          </cell>
          <cell r="D245" t="str">
            <v>Ingreso</v>
          </cell>
          <cell r="F245" t="str">
            <v>Producto</v>
          </cell>
          <cell r="H245">
            <v>5</v>
          </cell>
          <cell r="I245" t="str">
            <v>Yape</v>
          </cell>
        </row>
        <row r="246">
          <cell r="A246" t="str">
            <v>Marzo</v>
          </cell>
          <cell r="D246" t="str">
            <v>Ingreso</v>
          </cell>
          <cell r="F246" t="str">
            <v>Producto</v>
          </cell>
          <cell r="H246">
            <v>15</v>
          </cell>
          <cell r="I246" t="str">
            <v>Efectivo</v>
          </cell>
        </row>
        <row r="247">
          <cell r="A247" t="str">
            <v>Marzo</v>
          </cell>
          <cell r="D247" t="str">
            <v>Ingreso</v>
          </cell>
          <cell r="F247" t="str">
            <v>Producto</v>
          </cell>
          <cell r="H247">
            <v>11</v>
          </cell>
          <cell r="I247" t="str">
            <v>Efectivo</v>
          </cell>
        </row>
        <row r="248">
          <cell r="A248" t="str">
            <v>Marzo</v>
          </cell>
          <cell r="D248" t="str">
            <v>Ingreso</v>
          </cell>
          <cell r="F248" t="str">
            <v>Servicio</v>
          </cell>
          <cell r="G248" t="str">
            <v>Baño y Corte</v>
          </cell>
          <cell r="H248">
            <v>35</v>
          </cell>
          <cell r="I248" t="str">
            <v>Efectivo</v>
          </cell>
        </row>
        <row r="249">
          <cell r="A249" t="str">
            <v>Marzo</v>
          </cell>
          <cell r="D249" t="str">
            <v>Egreso</v>
          </cell>
          <cell r="H249">
            <v>20</v>
          </cell>
          <cell r="I249" t="str">
            <v>Efectivo</v>
          </cell>
        </row>
        <row r="250">
          <cell r="A250" t="str">
            <v>Marzo</v>
          </cell>
          <cell r="D250" t="str">
            <v>Ingreso</v>
          </cell>
          <cell r="F250" t="str">
            <v>Producto</v>
          </cell>
          <cell r="H250">
            <v>30</v>
          </cell>
          <cell r="I250" t="str">
            <v>Efectivo</v>
          </cell>
        </row>
        <row r="251">
          <cell r="A251" t="str">
            <v>Marzo</v>
          </cell>
          <cell r="D251" t="str">
            <v>Ingreso</v>
          </cell>
          <cell r="F251" t="str">
            <v>Producto</v>
          </cell>
          <cell r="H251">
            <v>12</v>
          </cell>
          <cell r="I251" t="str">
            <v>Efectivo</v>
          </cell>
        </row>
        <row r="252">
          <cell r="A252" t="str">
            <v>Marzo</v>
          </cell>
          <cell r="D252" t="str">
            <v>Egreso</v>
          </cell>
          <cell r="H252">
            <v>40</v>
          </cell>
          <cell r="I252" t="str">
            <v>Efectivo</v>
          </cell>
        </row>
        <row r="253">
          <cell r="A253" t="str">
            <v>Marzo</v>
          </cell>
          <cell r="D253" t="str">
            <v>Ingreso</v>
          </cell>
          <cell r="F253" t="str">
            <v>Servicio</v>
          </cell>
          <cell r="G253" t="str">
            <v>Otro servicio</v>
          </cell>
          <cell r="H253">
            <v>15</v>
          </cell>
          <cell r="I253" t="str">
            <v>Efectivo</v>
          </cell>
        </row>
        <row r="254">
          <cell r="A254" t="str">
            <v>Marzo</v>
          </cell>
          <cell r="D254" t="str">
            <v>Ingreso</v>
          </cell>
          <cell r="F254" t="str">
            <v>Producto</v>
          </cell>
          <cell r="H254">
            <v>23</v>
          </cell>
          <cell r="I254" t="str">
            <v>Efectivo</v>
          </cell>
        </row>
        <row r="255">
          <cell r="A255" t="str">
            <v>Marzo</v>
          </cell>
          <cell r="D255" t="str">
            <v>Ingreso</v>
          </cell>
          <cell r="F255" t="str">
            <v>Producto</v>
          </cell>
          <cell r="H255">
            <v>30</v>
          </cell>
          <cell r="I255" t="str">
            <v>Efectivo</v>
          </cell>
        </row>
        <row r="256">
          <cell r="A256" t="str">
            <v>Marzo</v>
          </cell>
          <cell r="D256" t="str">
            <v>Ingreso</v>
          </cell>
          <cell r="F256" t="str">
            <v>Producto</v>
          </cell>
          <cell r="H256">
            <v>12</v>
          </cell>
          <cell r="I256" t="str">
            <v>Efectivo</v>
          </cell>
        </row>
        <row r="257">
          <cell r="A257" t="str">
            <v>Marzo</v>
          </cell>
          <cell r="D257" t="str">
            <v>Ingreso</v>
          </cell>
          <cell r="F257" t="str">
            <v>Producto</v>
          </cell>
          <cell r="H257">
            <v>12</v>
          </cell>
          <cell r="I257" t="str">
            <v>Efectivo</v>
          </cell>
        </row>
        <row r="258">
          <cell r="A258" t="str">
            <v>Marzo</v>
          </cell>
          <cell r="D258" t="str">
            <v>Ingreso</v>
          </cell>
          <cell r="F258" t="str">
            <v>Producto</v>
          </cell>
          <cell r="H258">
            <v>18</v>
          </cell>
          <cell r="I258" t="str">
            <v>Efectivo</v>
          </cell>
        </row>
        <row r="259">
          <cell r="A259" t="str">
            <v>Marzo</v>
          </cell>
          <cell r="D259" t="str">
            <v>Ingreso</v>
          </cell>
          <cell r="F259" t="str">
            <v>Producto</v>
          </cell>
          <cell r="H259">
            <v>5</v>
          </cell>
          <cell r="I259" t="str">
            <v>Efectivo</v>
          </cell>
        </row>
        <row r="260">
          <cell r="A260" t="str">
            <v>Marzo</v>
          </cell>
          <cell r="D260" t="str">
            <v>Ingreso</v>
          </cell>
          <cell r="F260" t="str">
            <v>Producto</v>
          </cell>
          <cell r="H260">
            <v>26</v>
          </cell>
          <cell r="I260" t="str">
            <v>Efectivo</v>
          </cell>
        </row>
        <row r="261">
          <cell r="A261" t="str">
            <v>Marzo</v>
          </cell>
          <cell r="D261" t="str">
            <v>Ingreso</v>
          </cell>
          <cell r="F261" t="str">
            <v>Producto</v>
          </cell>
          <cell r="H261">
            <v>6</v>
          </cell>
          <cell r="I261" t="str">
            <v>Efectivo</v>
          </cell>
        </row>
        <row r="262">
          <cell r="A262" t="str">
            <v>Marzo</v>
          </cell>
          <cell r="D262" t="str">
            <v>Ingreso</v>
          </cell>
          <cell r="F262" t="str">
            <v>Servicio</v>
          </cell>
          <cell r="G262" t="str">
            <v>Baño y Corte</v>
          </cell>
          <cell r="H262">
            <v>120</v>
          </cell>
          <cell r="I262" t="str">
            <v>Efectivo</v>
          </cell>
        </row>
        <row r="263">
          <cell r="A263" t="str">
            <v>Marzo</v>
          </cell>
          <cell r="D263" t="str">
            <v>Ingreso</v>
          </cell>
          <cell r="F263" t="str">
            <v>Servicio</v>
          </cell>
          <cell r="G263" t="str">
            <v>Baño y Corte</v>
          </cell>
          <cell r="H263">
            <v>40</v>
          </cell>
          <cell r="I263" t="str">
            <v>Efectivo</v>
          </cell>
        </row>
        <row r="264">
          <cell r="A264" t="str">
            <v>Marzo</v>
          </cell>
          <cell r="D264" t="str">
            <v>Ingreso</v>
          </cell>
          <cell r="F264" t="str">
            <v>Producto</v>
          </cell>
          <cell r="H264">
            <v>1</v>
          </cell>
          <cell r="I264" t="str">
            <v>Efectivo</v>
          </cell>
        </row>
        <row r="265">
          <cell r="A265" t="str">
            <v>Marzo</v>
          </cell>
          <cell r="D265" t="str">
            <v>Ingreso</v>
          </cell>
          <cell r="F265" t="str">
            <v>Producto</v>
          </cell>
          <cell r="H265">
            <v>30</v>
          </cell>
          <cell r="I265" t="str">
            <v>Efectivo</v>
          </cell>
        </row>
        <row r="266">
          <cell r="A266" t="str">
            <v>Marzo</v>
          </cell>
          <cell r="D266" t="str">
            <v>Ingreso</v>
          </cell>
          <cell r="F266" t="str">
            <v>Producto</v>
          </cell>
          <cell r="H266">
            <v>10</v>
          </cell>
          <cell r="I266" t="str">
            <v>Efectivo</v>
          </cell>
        </row>
        <row r="267">
          <cell r="A267" t="str">
            <v>Marzo</v>
          </cell>
          <cell r="D267" t="str">
            <v>Ingreso</v>
          </cell>
          <cell r="F267" t="str">
            <v>Producto</v>
          </cell>
          <cell r="H267">
            <v>5</v>
          </cell>
          <cell r="I267" t="str">
            <v>Efectivo</v>
          </cell>
        </row>
        <row r="268">
          <cell r="A268" t="str">
            <v>Marzo</v>
          </cell>
          <cell r="D268" t="str">
            <v>Ingreso</v>
          </cell>
          <cell r="F268" t="str">
            <v>Servicio</v>
          </cell>
          <cell r="G268" t="str">
            <v>Baño y Corte</v>
          </cell>
          <cell r="H268">
            <v>35</v>
          </cell>
          <cell r="I268" t="str">
            <v>Efectivo</v>
          </cell>
        </row>
        <row r="269">
          <cell r="A269" t="str">
            <v>Marzo</v>
          </cell>
          <cell r="D269" t="str">
            <v>Ingreso</v>
          </cell>
          <cell r="F269" t="str">
            <v>Servicio</v>
          </cell>
          <cell r="G269" t="str">
            <v>Baño</v>
          </cell>
          <cell r="H269">
            <v>30</v>
          </cell>
          <cell r="I269" t="str">
            <v>Efectivo</v>
          </cell>
        </row>
        <row r="270">
          <cell r="A270" t="str">
            <v>Marzo</v>
          </cell>
          <cell r="D270" t="str">
            <v>Ingreso</v>
          </cell>
          <cell r="F270" t="str">
            <v>Producto</v>
          </cell>
          <cell r="H270">
            <v>5</v>
          </cell>
          <cell r="I270" t="str">
            <v>Efectivo</v>
          </cell>
        </row>
        <row r="271">
          <cell r="A271" t="str">
            <v>Marzo</v>
          </cell>
          <cell r="D271" t="str">
            <v>Ingreso</v>
          </cell>
          <cell r="F271" t="str">
            <v>Servicio</v>
          </cell>
          <cell r="G271" t="str">
            <v>Tratamiento</v>
          </cell>
          <cell r="H271">
            <v>45</v>
          </cell>
          <cell r="I271" t="str">
            <v>Efectivo</v>
          </cell>
        </row>
        <row r="272">
          <cell r="A272" t="str">
            <v>Marzo</v>
          </cell>
          <cell r="D272" t="str">
            <v>Ingreso</v>
          </cell>
          <cell r="F272" t="str">
            <v>Producto</v>
          </cell>
          <cell r="H272">
            <v>30</v>
          </cell>
          <cell r="I272" t="str">
            <v>Efectivo</v>
          </cell>
        </row>
        <row r="273">
          <cell r="A273" t="str">
            <v>Marzo</v>
          </cell>
          <cell r="D273" t="str">
            <v>Ingreso</v>
          </cell>
          <cell r="F273" t="str">
            <v>Producto</v>
          </cell>
          <cell r="H273">
            <v>18</v>
          </cell>
          <cell r="I273" t="str">
            <v>Efectivo</v>
          </cell>
        </row>
        <row r="274">
          <cell r="A274" t="str">
            <v>Marzo</v>
          </cell>
          <cell r="D274" t="str">
            <v>Ingreso</v>
          </cell>
          <cell r="F274" t="str">
            <v>Servicio</v>
          </cell>
          <cell r="G274" t="str">
            <v>Vacuna</v>
          </cell>
          <cell r="H274">
            <v>80</v>
          </cell>
          <cell r="I274" t="str">
            <v>Efectivo</v>
          </cell>
        </row>
        <row r="275">
          <cell r="A275" t="str">
            <v>Marzo</v>
          </cell>
          <cell r="D275" t="str">
            <v>Ingreso</v>
          </cell>
          <cell r="F275" t="str">
            <v>Servicio</v>
          </cell>
          <cell r="G275" t="str">
            <v>Baño y Corte</v>
          </cell>
          <cell r="H275">
            <v>145</v>
          </cell>
          <cell r="I275" t="str">
            <v>Efectivo</v>
          </cell>
        </row>
        <row r="276">
          <cell r="A276" t="str">
            <v>Marzo</v>
          </cell>
          <cell r="D276" t="str">
            <v>Ingreso</v>
          </cell>
          <cell r="F276" t="str">
            <v>Producto</v>
          </cell>
          <cell r="H276">
            <v>160</v>
          </cell>
          <cell r="I276" t="str">
            <v>Efectivo</v>
          </cell>
        </row>
        <row r="277">
          <cell r="A277" t="str">
            <v>Marzo</v>
          </cell>
          <cell r="D277" t="str">
            <v>Ingreso</v>
          </cell>
          <cell r="F277" t="str">
            <v>Producto</v>
          </cell>
          <cell r="H277">
            <v>11.5</v>
          </cell>
          <cell r="I277" t="str">
            <v>Efectivo</v>
          </cell>
        </row>
        <row r="278">
          <cell r="A278" t="str">
            <v>Marzo</v>
          </cell>
          <cell r="D278" t="str">
            <v>Ingreso</v>
          </cell>
          <cell r="F278" t="str">
            <v>Producto</v>
          </cell>
          <cell r="H278">
            <v>255</v>
          </cell>
          <cell r="I278" t="str">
            <v>Efectivo</v>
          </cell>
        </row>
        <row r="279">
          <cell r="A279" t="str">
            <v>Marzo</v>
          </cell>
          <cell r="D279" t="str">
            <v>Ingreso</v>
          </cell>
          <cell r="F279" t="str">
            <v>Producto</v>
          </cell>
          <cell r="H279">
            <v>5</v>
          </cell>
          <cell r="I279" t="str">
            <v>Efectivo</v>
          </cell>
        </row>
        <row r="280">
          <cell r="A280" t="str">
            <v>Marzo</v>
          </cell>
          <cell r="D280" t="str">
            <v>Ingreso</v>
          </cell>
          <cell r="F280" t="str">
            <v>Producto</v>
          </cell>
          <cell r="H280">
            <v>10</v>
          </cell>
          <cell r="I280" t="str">
            <v>Efectivo</v>
          </cell>
        </row>
        <row r="281">
          <cell r="A281" t="str">
            <v>Marzo</v>
          </cell>
          <cell r="D281" t="str">
            <v>Ingreso</v>
          </cell>
          <cell r="F281" t="str">
            <v>Producto</v>
          </cell>
          <cell r="H281">
            <v>30</v>
          </cell>
          <cell r="I281" t="str">
            <v>Efectivo</v>
          </cell>
        </row>
        <row r="282">
          <cell r="A282" t="str">
            <v>Marzo</v>
          </cell>
          <cell r="D282" t="str">
            <v>Ingreso</v>
          </cell>
          <cell r="F282" t="str">
            <v>Producto</v>
          </cell>
          <cell r="H282">
            <v>5</v>
          </cell>
          <cell r="I282" t="str">
            <v>Efectivo</v>
          </cell>
        </row>
        <row r="283">
          <cell r="A283" t="str">
            <v>Marzo</v>
          </cell>
          <cell r="D283" t="str">
            <v>Ingreso</v>
          </cell>
          <cell r="F283" t="str">
            <v>Producto</v>
          </cell>
          <cell r="H283">
            <v>5</v>
          </cell>
          <cell r="I283" t="str">
            <v>Efectivo</v>
          </cell>
        </row>
        <row r="284">
          <cell r="A284" t="str">
            <v>Marzo</v>
          </cell>
          <cell r="D284" t="str">
            <v>Ingreso</v>
          </cell>
          <cell r="F284" t="str">
            <v>Servicio</v>
          </cell>
          <cell r="G284" t="str">
            <v>Baño y Corte</v>
          </cell>
          <cell r="H284">
            <v>60</v>
          </cell>
          <cell r="I284" t="str">
            <v>Efectivo</v>
          </cell>
        </row>
        <row r="285">
          <cell r="A285" t="str">
            <v>Marzo</v>
          </cell>
          <cell r="D285" t="str">
            <v>Ingreso</v>
          </cell>
          <cell r="F285" t="str">
            <v>Producto</v>
          </cell>
          <cell r="H285">
            <v>5</v>
          </cell>
          <cell r="I285" t="str">
            <v>Efectivo</v>
          </cell>
        </row>
        <row r="286">
          <cell r="A286" t="str">
            <v>Marzo</v>
          </cell>
          <cell r="D286" t="str">
            <v>Ingreso</v>
          </cell>
          <cell r="F286" t="str">
            <v>Producto</v>
          </cell>
          <cell r="H286">
            <v>25</v>
          </cell>
          <cell r="I286" t="str">
            <v>Yape</v>
          </cell>
        </row>
        <row r="287">
          <cell r="A287" t="str">
            <v>Marzo</v>
          </cell>
          <cell r="D287" t="str">
            <v>Ingreso</v>
          </cell>
          <cell r="F287" t="str">
            <v>Servicio</v>
          </cell>
          <cell r="G287" t="str">
            <v>Baño y Corte</v>
          </cell>
          <cell r="H287">
            <v>35</v>
          </cell>
          <cell r="I287" t="str">
            <v>Efectivo</v>
          </cell>
        </row>
        <row r="288">
          <cell r="A288" t="str">
            <v>Marzo</v>
          </cell>
          <cell r="D288" t="str">
            <v>Ingreso</v>
          </cell>
          <cell r="F288" t="str">
            <v>Servicio</v>
          </cell>
          <cell r="G288" t="str">
            <v>Baño y Corte</v>
          </cell>
          <cell r="H288">
            <v>45</v>
          </cell>
          <cell r="I288" t="str">
            <v>Yape</v>
          </cell>
        </row>
        <row r="289">
          <cell r="A289" t="str">
            <v>Marzo</v>
          </cell>
          <cell r="D289" t="str">
            <v>Ingreso</v>
          </cell>
          <cell r="F289" t="str">
            <v>Producto</v>
          </cell>
          <cell r="H289">
            <v>4</v>
          </cell>
          <cell r="I289" t="str">
            <v>Efectivo</v>
          </cell>
        </row>
        <row r="290">
          <cell r="A290" t="str">
            <v>Marzo</v>
          </cell>
          <cell r="D290" t="str">
            <v>Ingreso</v>
          </cell>
          <cell r="F290" t="str">
            <v>Servicio</v>
          </cell>
          <cell r="G290" t="str">
            <v>Baño y Corte</v>
          </cell>
          <cell r="H290">
            <v>35</v>
          </cell>
          <cell r="I290" t="str">
            <v>Efectivo</v>
          </cell>
        </row>
        <row r="291">
          <cell r="A291" t="str">
            <v>Marzo</v>
          </cell>
          <cell r="D291" t="str">
            <v>Ingreso</v>
          </cell>
          <cell r="F291" t="str">
            <v>Producto</v>
          </cell>
          <cell r="H291">
            <v>5</v>
          </cell>
          <cell r="I291" t="str">
            <v>Efectivo</v>
          </cell>
        </row>
        <row r="292">
          <cell r="A292" t="str">
            <v>Marzo</v>
          </cell>
          <cell r="D292" t="str">
            <v>Ingreso</v>
          </cell>
          <cell r="F292" t="str">
            <v>Producto</v>
          </cell>
          <cell r="H292">
            <v>70</v>
          </cell>
          <cell r="I292" t="str">
            <v>Efectivo</v>
          </cell>
        </row>
        <row r="293">
          <cell r="A293" t="str">
            <v>Marzo</v>
          </cell>
          <cell r="D293" t="str">
            <v>Ingreso</v>
          </cell>
          <cell r="F293" t="str">
            <v>Servicio</v>
          </cell>
          <cell r="G293" t="str">
            <v>Vacuna</v>
          </cell>
          <cell r="H293">
            <v>60</v>
          </cell>
          <cell r="I293" t="str">
            <v>Efectivo</v>
          </cell>
        </row>
        <row r="294">
          <cell r="A294" t="str">
            <v>Marzo</v>
          </cell>
          <cell r="D294" t="str">
            <v>Ingreso</v>
          </cell>
          <cell r="F294" t="str">
            <v>Producto</v>
          </cell>
          <cell r="H294">
            <v>12</v>
          </cell>
          <cell r="I294" t="str">
            <v>Efectivo</v>
          </cell>
        </row>
        <row r="295">
          <cell r="A295" t="str">
            <v>Marzo</v>
          </cell>
          <cell r="D295" t="str">
            <v>Ingreso</v>
          </cell>
          <cell r="F295" t="str">
            <v>Producto</v>
          </cell>
          <cell r="H295">
            <v>24</v>
          </cell>
          <cell r="I295" t="str">
            <v>Efectivo</v>
          </cell>
        </row>
        <row r="296">
          <cell r="A296" t="str">
            <v>Marzo</v>
          </cell>
          <cell r="D296" t="str">
            <v>Ingreso</v>
          </cell>
          <cell r="F296" t="str">
            <v>Producto</v>
          </cell>
          <cell r="H296">
            <v>25</v>
          </cell>
          <cell r="I296" t="str">
            <v>Efectivo</v>
          </cell>
        </row>
        <row r="297">
          <cell r="A297" t="str">
            <v>Marzo</v>
          </cell>
          <cell r="D297" t="str">
            <v>Ingreso</v>
          </cell>
          <cell r="F297" t="str">
            <v>Servicio</v>
          </cell>
          <cell r="G297" t="str">
            <v>Baño y Corte</v>
          </cell>
          <cell r="H297">
            <v>35</v>
          </cell>
          <cell r="I297" t="str">
            <v>Efectivo</v>
          </cell>
        </row>
        <row r="298">
          <cell r="A298" t="str">
            <v>Marzo</v>
          </cell>
          <cell r="D298" t="str">
            <v>Ingreso</v>
          </cell>
          <cell r="F298" t="str">
            <v>Producto</v>
          </cell>
          <cell r="H298">
            <v>15</v>
          </cell>
          <cell r="I298" t="str">
            <v>Efectivo</v>
          </cell>
        </row>
        <row r="299">
          <cell r="A299" t="str">
            <v>Marzo</v>
          </cell>
          <cell r="D299" t="str">
            <v>Ingreso</v>
          </cell>
          <cell r="F299" t="str">
            <v>Producto</v>
          </cell>
          <cell r="H299">
            <v>20</v>
          </cell>
          <cell r="I299" t="str">
            <v>Efectivo</v>
          </cell>
        </row>
        <row r="300">
          <cell r="A300" t="str">
            <v>Marzo</v>
          </cell>
          <cell r="D300" t="str">
            <v>Ingreso</v>
          </cell>
          <cell r="F300" t="str">
            <v>Servicio</v>
          </cell>
          <cell r="G300" t="str">
            <v>Tratamiento</v>
          </cell>
          <cell r="H300">
            <v>30</v>
          </cell>
          <cell r="I300" t="str">
            <v>Efectivo</v>
          </cell>
        </row>
        <row r="301">
          <cell r="A301" t="str">
            <v>Marzo</v>
          </cell>
          <cell r="D301" t="str">
            <v>Ingreso</v>
          </cell>
          <cell r="F301" t="str">
            <v>Servicio</v>
          </cell>
          <cell r="G301" t="str">
            <v>Tratamiento</v>
          </cell>
          <cell r="H301">
            <v>15</v>
          </cell>
          <cell r="I301" t="str">
            <v>Efectivo</v>
          </cell>
        </row>
        <row r="302">
          <cell r="A302" t="str">
            <v>Marzo</v>
          </cell>
          <cell r="D302" t="str">
            <v>Ingreso</v>
          </cell>
          <cell r="F302" t="str">
            <v>Producto</v>
          </cell>
          <cell r="H302">
            <v>130</v>
          </cell>
          <cell r="I302" t="str">
            <v>Efectivo</v>
          </cell>
        </row>
        <row r="303">
          <cell r="A303" t="str">
            <v>Marzo</v>
          </cell>
          <cell r="D303" t="str">
            <v>Ingreso</v>
          </cell>
          <cell r="F303" t="str">
            <v>Servicio</v>
          </cell>
          <cell r="G303" t="str">
            <v>Tratamiento</v>
          </cell>
          <cell r="H303">
            <v>30</v>
          </cell>
          <cell r="I303" t="str">
            <v>Efectivo</v>
          </cell>
        </row>
        <row r="304">
          <cell r="A304" t="str">
            <v>Marzo</v>
          </cell>
          <cell r="D304" t="str">
            <v>Egreso</v>
          </cell>
          <cell r="H304">
            <v>30</v>
          </cell>
          <cell r="I304" t="str">
            <v>Efectivo</v>
          </cell>
        </row>
        <row r="305">
          <cell r="A305" t="str">
            <v>Marzo</v>
          </cell>
          <cell r="D305" t="str">
            <v>Ingreso</v>
          </cell>
          <cell r="F305" t="str">
            <v>Producto</v>
          </cell>
          <cell r="H305">
            <v>35</v>
          </cell>
          <cell r="I305" t="str">
            <v>Efectivo</v>
          </cell>
        </row>
        <row r="306">
          <cell r="A306" t="str">
            <v>Marzo</v>
          </cell>
          <cell r="D306" t="str">
            <v>Ingreso</v>
          </cell>
          <cell r="F306" t="str">
            <v>Servicio</v>
          </cell>
          <cell r="G306" t="str">
            <v>Baño y Corte</v>
          </cell>
          <cell r="H306">
            <v>70</v>
          </cell>
          <cell r="I306" t="str">
            <v>Efectivo</v>
          </cell>
        </row>
        <row r="307">
          <cell r="A307" t="str">
            <v>Marzo</v>
          </cell>
          <cell r="D307" t="str">
            <v>Ingreso</v>
          </cell>
          <cell r="F307" t="str">
            <v>Producto</v>
          </cell>
          <cell r="H307">
            <v>10</v>
          </cell>
          <cell r="I307" t="str">
            <v>Efectivo</v>
          </cell>
        </row>
        <row r="308">
          <cell r="A308" t="str">
            <v>Marzo</v>
          </cell>
          <cell r="D308" t="str">
            <v>Ingreso</v>
          </cell>
          <cell r="F308" t="str">
            <v>Producto</v>
          </cell>
          <cell r="H308">
            <v>10</v>
          </cell>
          <cell r="I308" t="str">
            <v>Efectivo</v>
          </cell>
        </row>
        <row r="309">
          <cell r="A309" t="str">
            <v>Marzo</v>
          </cell>
          <cell r="D309" t="str">
            <v>Ingreso</v>
          </cell>
          <cell r="F309" t="str">
            <v>Servicio</v>
          </cell>
          <cell r="G309" t="str">
            <v>Baño y Corte</v>
          </cell>
          <cell r="H309">
            <v>35</v>
          </cell>
          <cell r="I309" t="str">
            <v>Efectivo</v>
          </cell>
        </row>
        <row r="310">
          <cell r="A310" t="str">
            <v>Marzo</v>
          </cell>
          <cell r="D310" t="str">
            <v>Ingreso</v>
          </cell>
          <cell r="F310" t="str">
            <v>Producto</v>
          </cell>
          <cell r="H310">
            <v>18</v>
          </cell>
          <cell r="I310" t="str">
            <v>Efectivo</v>
          </cell>
        </row>
        <row r="311">
          <cell r="A311" t="str">
            <v>Marzo</v>
          </cell>
          <cell r="D311" t="str">
            <v>Ingreso</v>
          </cell>
          <cell r="F311" t="str">
            <v>Producto</v>
          </cell>
          <cell r="H311">
            <v>3</v>
          </cell>
          <cell r="I311" t="str">
            <v>Efectivo</v>
          </cell>
        </row>
        <row r="312">
          <cell r="A312" t="str">
            <v>Marzo</v>
          </cell>
          <cell r="D312" t="str">
            <v>Ingreso</v>
          </cell>
          <cell r="F312" t="str">
            <v>Producto</v>
          </cell>
          <cell r="H312">
            <v>27</v>
          </cell>
          <cell r="I312" t="str">
            <v>Efectivo</v>
          </cell>
        </row>
        <row r="313">
          <cell r="A313" t="str">
            <v>Marzo</v>
          </cell>
          <cell r="D313" t="str">
            <v>Ingreso</v>
          </cell>
          <cell r="F313" t="str">
            <v>Producto</v>
          </cell>
          <cell r="H313">
            <v>21</v>
          </cell>
          <cell r="I313" t="str">
            <v>Efectivo</v>
          </cell>
        </row>
        <row r="314">
          <cell r="A314" t="str">
            <v>Marzo</v>
          </cell>
          <cell r="D314" t="str">
            <v>Ingreso</v>
          </cell>
          <cell r="F314" t="str">
            <v>Servicio</v>
          </cell>
          <cell r="G314" t="str">
            <v>Baño y Corte</v>
          </cell>
          <cell r="H314">
            <v>105</v>
          </cell>
          <cell r="I314" t="str">
            <v>Yape</v>
          </cell>
        </row>
        <row r="315">
          <cell r="A315" t="str">
            <v>Marzo</v>
          </cell>
          <cell r="D315" t="str">
            <v>Ingreso</v>
          </cell>
          <cell r="F315" t="str">
            <v>Producto</v>
          </cell>
          <cell r="H315">
            <v>5</v>
          </cell>
          <cell r="I315" t="str">
            <v>Efectivo</v>
          </cell>
        </row>
        <row r="316">
          <cell r="A316" t="str">
            <v>Marzo</v>
          </cell>
          <cell r="D316" t="str">
            <v>Egreso</v>
          </cell>
          <cell r="H316">
            <v>34</v>
          </cell>
          <cell r="I316" t="str">
            <v>Efectivo</v>
          </cell>
        </row>
        <row r="317">
          <cell r="A317" t="str">
            <v>Marzo</v>
          </cell>
          <cell r="D317" t="str">
            <v>Ingreso</v>
          </cell>
          <cell r="F317" t="str">
            <v>Producto</v>
          </cell>
          <cell r="H317">
            <v>12</v>
          </cell>
          <cell r="I317" t="str">
            <v>Efectivo</v>
          </cell>
        </row>
        <row r="318">
          <cell r="A318" t="str">
            <v>Marzo</v>
          </cell>
          <cell r="D318" t="str">
            <v>Ingreso</v>
          </cell>
          <cell r="F318" t="str">
            <v>Servicio</v>
          </cell>
          <cell r="G318" t="str">
            <v>Tratamiento</v>
          </cell>
          <cell r="H318">
            <v>60</v>
          </cell>
          <cell r="I318" t="str">
            <v>Efectivo</v>
          </cell>
        </row>
        <row r="319">
          <cell r="A319" t="str">
            <v>Marzo</v>
          </cell>
          <cell r="D319" t="str">
            <v>Ingreso</v>
          </cell>
          <cell r="F319" t="str">
            <v>Producto</v>
          </cell>
          <cell r="H319">
            <v>8</v>
          </cell>
          <cell r="I319" t="str">
            <v>Efectivo</v>
          </cell>
        </row>
        <row r="320">
          <cell r="A320" t="str">
            <v>Marzo</v>
          </cell>
          <cell r="D320" t="str">
            <v>Ingreso</v>
          </cell>
          <cell r="F320" t="str">
            <v>Servicio</v>
          </cell>
          <cell r="G320" t="str">
            <v>Baño y Corte</v>
          </cell>
          <cell r="H320">
            <v>45</v>
          </cell>
          <cell r="I320" t="str">
            <v>Efectivo</v>
          </cell>
        </row>
        <row r="321">
          <cell r="A321" t="str">
            <v>Marzo</v>
          </cell>
          <cell r="D321" t="str">
            <v>Ingreso</v>
          </cell>
          <cell r="F321" t="str">
            <v>Servicio</v>
          </cell>
          <cell r="G321" t="str">
            <v>Baño y Corte</v>
          </cell>
          <cell r="H321">
            <v>30</v>
          </cell>
          <cell r="I321" t="str">
            <v>Efectivo</v>
          </cell>
        </row>
        <row r="322">
          <cell r="A322" t="str">
            <v>Marzo</v>
          </cell>
          <cell r="D322" t="str">
            <v>Ingreso</v>
          </cell>
          <cell r="F322" t="str">
            <v>Servicio</v>
          </cell>
          <cell r="G322" t="str">
            <v>Baño y Corte</v>
          </cell>
          <cell r="H322">
            <v>35</v>
          </cell>
          <cell r="I322" t="str">
            <v>Efectivo</v>
          </cell>
        </row>
        <row r="323">
          <cell r="A323" t="str">
            <v>Marzo</v>
          </cell>
          <cell r="D323" t="str">
            <v>Ingreso</v>
          </cell>
          <cell r="F323" t="str">
            <v>Servicio</v>
          </cell>
          <cell r="G323" t="str">
            <v>Baño y Corte</v>
          </cell>
          <cell r="H323">
            <v>40</v>
          </cell>
          <cell r="I323" t="str">
            <v>Efectivo</v>
          </cell>
        </row>
        <row r="324">
          <cell r="A324" t="str">
            <v>Marzo</v>
          </cell>
          <cell r="D324" t="str">
            <v>Ingreso</v>
          </cell>
          <cell r="F324" t="str">
            <v>Servicio</v>
          </cell>
          <cell r="G324" t="str">
            <v>Vacuna</v>
          </cell>
          <cell r="H324">
            <v>80</v>
          </cell>
          <cell r="I324" t="str">
            <v>Efectivo</v>
          </cell>
        </row>
        <row r="325">
          <cell r="A325" t="str">
            <v>Marzo</v>
          </cell>
          <cell r="D325" t="str">
            <v>Ingreso</v>
          </cell>
          <cell r="F325" t="str">
            <v>Producto</v>
          </cell>
          <cell r="H325">
            <v>10</v>
          </cell>
          <cell r="I325" t="str">
            <v>Efectivo</v>
          </cell>
        </row>
        <row r="326">
          <cell r="A326" t="str">
            <v>Marzo</v>
          </cell>
          <cell r="D326" t="str">
            <v>Egreso</v>
          </cell>
          <cell r="H326">
            <v>18</v>
          </cell>
          <cell r="I326" t="str">
            <v>Efectivo</v>
          </cell>
        </row>
        <row r="327">
          <cell r="A327" t="str">
            <v>Marzo</v>
          </cell>
          <cell r="D327" t="str">
            <v>Ingreso</v>
          </cell>
          <cell r="F327" t="str">
            <v>Producto</v>
          </cell>
          <cell r="H327">
            <v>15</v>
          </cell>
          <cell r="I327" t="str">
            <v>Efectivo</v>
          </cell>
        </row>
        <row r="328">
          <cell r="A328" t="str">
            <v>Marzo</v>
          </cell>
          <cell r="D328" t="str">
            <v>Egreso</v>
          </cell>
          <cell r="H328">
            <v>27</v>
          </cell>
          <cell r="I328" t="str">
            <v>Efectivo</v>
          </cell>
        </row>
        <row r="329">
          <cell r="A329" t="str">
            <v>Marzo</v>
          </cell>
          <cell r="D329" t="str">
            <v>Ingreso</v>
          </cell>
          <cell r="F329" t="str">
            <v>Producto</v>
          </cell>
          <cell r="H329">
            <v>6</v>
          </cell>
          <cell r="I329" t="str">
            <v>Efectivo</v>
          </cell>
        </row>
        <row r="330">
          <cell r="A330" t="str">
            <v>Marzo</v>
          </cell>
          <cell r="D330" t="str">
            <v>Ingreso</v>
          </cell>
          <cell r="F330" t="str">
            <v>Producto</v>
          </cell>
          <cell r="H330">
            <v>11</v>
          </cell>
          <cell r="I330" t="str">
            <v>Efectivo</v>
          </cell>
        </row>
        <row r="331">
          <cell r="A331" t="str">
            <v>Marzo</v>
          </cell>
          <cell r="D331" t="str">
            <v>Ingreso</v>
          </cell>
          <cell r="F331" t="str">
            <v>Producto</v>
          </cell>
          <cell r="H331">
            <v>8</v>
          </cell>
          <cell r="I331" t="str">
            <v>Efectivo</v>
          </cell>
        </row>
        <row r="332">
          <cell r="A332" t="str">
            <v>Marzo</v>
          </cell>
          <cell r="D332" t="str">
            <v>Ingreso</v>
          </cell>
          <cell r="F332" t="str">
            <v>Producto</v>
          </cell>
          <cell r="H332">
            <v>5</v>
          </cell>
          <cell r="I332" t="str">
            <v>Efectivo</v>
          </cell>
        </row>
        <row r="333">
          <cell r="A333" t="str">
            <v>Marzo</v>
          </cell>
          <cell r="D333" t="str">
            <v>Ingreso</v>
          </cell>
          <cell r="F333" t="str">
            <v>Producto</v>
          </cell>
          <cell r="H333">
            <v>15</v>
          </cell>
          <cell r="I333" t="str">
            <v>Efectivo</v>
          </cell>
        </row>
        <row r="334">
          <cell r="A334" t="str">
            <v>Marzo</v>
          </cell>
          <cell r="D334" t="str">
            <v>Ingreso</v>
          </cell>
          <cell r="F334" t="str">
            <v>Servicio</v>
          </cell>
          <cell r="G334" t="str">
            <v>Inyectable</v>
          </cell>
          <cell r="H334">
            <v>10</v>
          </cell>
          <cell r="I334" t="str">
            <v>Efectivo</v>
          </cell>
        </row>
        <row r="335">
          <cell r="A335" t="str">
            <v>Marzo</v>
          </cell>
          <cell r="D335" t="str">
            <v>Ingreso</v>
          </cell>
          <cell r="F335" t="str">
            <v>Servicio</v>
          </cell>
          <cell r="G335" t="str">
            <v>Baño</v>
          </cell>
          <cell r="H335">
            <v>100</v>
          </cell>
          <cell r="I335" t="str">
            <v>Efectivo</v>
          </cell>
        </row>
        <row r="336">
          <cell r="A336" t="str">
            <v>Marzo</v>
          </cell>
          <cell r="D336" t="str">
            <v>Egreso</v>
          </cell>
          <cell r="H336">
            <v>30</v>
          </cell>
          <cell r="I336" t="str">
            <v>Efectivo</v>
          </cell>
        </row>
        <row r="337">
          <cell r="A337" t="str">
            <v>Marzo</v>
          </cell>
          <cell r="D337" t="str">
            <v>Ingreso</v>
          </cell>
          <cell r="F337" t="str">
            <v>Servicio</v>
          </cell>
          <cell r="G337" t="str">
            <v>Baño y Corte</v>
          </cell>
          <cell r="H337">
            <v>30</v>
          </cell>
          <cell r="I337" t="str">
            <v>Efectivo</v>
          </cell>
        </row>
        <row r="338">
          <cell r="A338" t="str">
            <v>Marzo</v>
          </cell>
          <cell r="D338" t="str">
            <v>Ingreso</v>
          </cell>
          <cell r="F338" t="str">
            <v>Servicio</v>
          </cell>
          <cell r="G338" t="str">
            <v>Baño</v>
          </cell>
          <cell r="H338">
            <v>25</v>
          </cell>
          <cell r="I338" t="str">
            <v>Efectivo</v>
          </cell>
        </row>
        <row r="339">
          <cell r="A339" t="str">
            <v>Marzo</v>
          </cell>
          <cell r="D339" t="str">
            <v>Ingreso</v>
          </cell>
          <cell r="F339" t="str">
            <v>Servicio</v>
          </cell>
          <cell r="G339" t="str">
            <v>Vacuna</v>
          </cell>
          <cell r="H339">
            <v>30</v>
          </cell>
          <cell r="I339" t="str">
            <v>Efectivo</v>
          </cell>
        </row>
        <row r="340">
          <cell r="A340" t="str">
            <v>Marzo</v>
          </cell>
          <cell r="D340" t="str">
            <v>Ingreso</v>
          </cell>
          <cell r="F340" t="str">
            <v>Producto</v>
          </cell>
          <cell r="H340">
            <v>8</v>
          </cell>
          <cell r="I340" t="str">
            <v>Efectivo</v>
          </cell>
        </row>
        <row r="341">
          <cell r="A341" t="str">
            <v>Marzo</v>
          </cell>
          <cell r="D341" t="str">
            <v>Ingreso</v>
          </cell>
          <cell r="F341" t="str">
            <v>Producto</v>
          </cell>
          <cell r="H341">
            <v>60</v>
          </cell>
          <cell r="I341" t="str">
            <v>Efectivo</v>
          </cell>
        </row>
        <row r="342">
          <cell r="A342" t="str">
            <v>Marzo</v>
          </cell>
          <cell r="D342" t="str">
            <v>Ingreso</v>
          </cell>
          <cell r="F342" t="str">
            <v>Servicio</v>
          </cell>
          <cell r="G342" t="str">
            <v>Baño y Corte</v>
          </cell>
          <cell r="H342">
            <v>70</v>
          </cell>
          <cell r="I342" t="str">
            <v>Efectivo</v>
          </cell>
        </row>
        <row r="343">
          <cell r="A343" t="str">
            <v>Marzo</v>
          </cell>
          <cell r="D343" t="str">
            <v>Ingreso</v>
          </cell>
          <cell r="F343" t="str">
            <v>Servicio</v>
          </cell>
          <cell r="G343" t="str">
            <v>Baño y Corte</v>
          </cell>
          <cell r="H343">
            <v>83</v>
          </cell>
          <cell r="I343" t="str">
            <v>Efectivo</v>
          </cell>
        </row>
        <row r="344">
          <cell r="A344" t="str">
            <v>Marzo</v>
          </cell>
          <cell r="D344" t="str">
            <v>Egreso</v>
          </cell>
          <cell r="H344">
            <v>30</v>
          </cell>
          <cell r="I344" t="str">
            <v>Efectivo</v>
          </cell>
        </row>
        <row r="345">
          <cell r="A345" t="str">
            <v>Marzo</v>
          </cell>
          <cell r="D345" t="str">
            <v>Ingreso</v>
          </cell>
          <cell r="F345" t="str">
            <v>Servicio</v>
          </cell>
          <cell r="G345" t="str">
            <v>Cirugía / Esterilización</v>
          </cell>
          <cell r="H345">
            <v>200</v>
          </cell>
          <cell r="I345" t="str">
            <v>Efectivo</v>
          </cell>
        </row>
        <row r="346">
          <cell r="A346" t="str">
            <v>Marzo</v>
          </cell>
          <cell r="D346" t="str">
            <v>Ingreso</v>
          </cell>
          <cell r="F346" t="str">
            <v>Servicio</v>
          </cell>
          <cell r="G346" t="str">
            <v>Baño y Corte</v>
          </cell>
          <cell r="H346">
            <v>60</v>
          </cell>
          <cell r="I346" t="str">
            <v>Efectivo</v>
          </cell>
        </row>
        <row r="347">
          <cell r="A347" t="str">
            <v>Marzo</v>
          </cell>
          <cell r="D347" t="str">
            <v>Ingreso</v>
          </cell>
          <cell r="F347" t="str">
            <v>Servicio</v>
          </cell>
          <cell r="G347" t="str">
            <v>Desparasitación</v>
          </cell>
          <cell r="H347">
            <v>20</v>
          </cell>
          <cell r="I347" t="str">
            <v>Efectivo</v>
          </cell>
        </row>
        <row r="348">
          <cell r="A348" t="str">
            <v>Marzo</v>
          </cell>
          <cell r="D348" t="str">
            <v>Ingreso</v>
          </cell>
          <cell r="F348" t="str">
            <v>Servicio</v>
          </cell>
          <cell r="G348" t="str">
            <v>Vacuna</v>
          </cell>
          <cell r="H348">
            <v>50</v>
          </cell>
          <cell r="I348" t="str">
            <v>Efectivo</v>
          </cell>
        </row>
        <row r="349">
          <cell r="A349" t="str">
            <v>Marzo</v>
          </cell>
          <cell r="D349" t="str">
            <v>Ingreso</v>
          </cell>
          <cell r="F349" t="str">
            <v>Producto</v>
          </cell>
          <cell r="H349">
            <v>17</v>
          </cell>
          <cell r="I349" t="str">
            <v>Efectivo</v>
          </cell>
        </row>
        <row r="350">
          <cell r="A350" t="str">
            <v>Marzo</v>
          </cell>
          <cell r="D350" t="str">
            <v>Ingreso</v>
          </cell>
          <cell r="F350" t="str">
            <v>Producto</v>
          </cell>
          <cell r="H350">
            <v>5</v>
          </cell>
          <cell r="I350" t="str">
            <v>Efectivo</v>
          </cell>
        </row>
        <row r="351">
          <cell r="A351" t="str">
            <v>Marzo</v>
          </cell>
          <cell r="D351" t="str">
            <v>Ingreso</v>
          </cell>
          <cell r="F351" t="str">
            <v>Producto</v>
          </cell>
          <cell r="H351">
            <v>10</v>
          </cell>
          <cell r="I351" t="str">
            <v>Efectivo</v>
          </cell>
        </row>
        <row r="352">
          <cell r="A352" t="str">
            <v>Marzo</v>
          </cell>
          <cell r="D352" t="str">
            <v>Ingreso</v>
          </cell>
          <cell r="F352" t="str">
            <v>Servicio</v>
          </cell>
          <cell r="G352" t="str">
            <v>Baño y Corte</v>
          </cell>
          <cell r="H352">
            <v>35</v>
          </cell>
          <cell r="I352" t="str">
            <v>Efectivo</v>
          </cell>
        </row>
        <row r="353">
          <cell r="A353" t="str">
            <v>Marzo</v>
          </cell>
          <cell r="D353" t="str">
            <v>Ingreso</v>
          </cell>
          <cell r="F353" t="str">
            <v>Servicio</v>
          </cell>
          <cell r="G353" t="str">
            <v>Inyectable</v>
          </cell>
          <cell r="H353">
            <v>30</v>
          </cell>
          <cell r="I353" t="str">
            <v>Efectivo</v>
          </cell>
        </row>
        <row r="354">
          <cell r="A354" t="str">
            <v>Marzo</v>
          </cell>
          <cell r="D354" t="str">
            <v>Ingreso</v>
          </cell>
          <cell r="F354" t="str">
            <v>Servicio</v>
          </cell>
          <cell r="G354" t="str">
            <v>Tratamiento</v>
          </cell>
          <cell r="H354">
            <v>15</v>
          </cell>
          <cell r="I354" t="str">
            <v>Efectivo</v>
          </cell>
        </row>
        <row r="355">
          <cell r="A355" t="str">
            <v>Marzo</v>
          </cell>
          <cell r="D355" t="str">
            <v>Ingreso</v>
          </cell>
          <cell r="F355" t="str">
            <v>Servicio</v>
          </cell>
          <cell r="G355" t="str">
            <v>Vacuna</v>
          </cell>
          <cell r="H355">
            <v>40</v>
          </cell>
          <cell r="I355" t="str">
            <v>Efectivo</v>
          </cell>
        </row>
        <row r="356">
          <cell r="A356" t="str">
            <v>Marzo</v>
          </cell>
          <cell r="D356" t="str">
            <v>Ingreso</v>
          </cell>
          <cell r="F356" t="str">
            <v>Servicio</v>
          </cell>
          <cell r="G356" t="str">
            <v>Desparasitación</v>
          </cell>
          <cell r="H356">
            <v>15</v>
          </cell>
          <cell r="I356" t="str">
            <v>Efectivo</v>
          </cell>
        </row>
        <row r="357">
          <cell r="A357" t="str">
            <v>Marzo</v>
          </cell>
          <cell r="D357" t="str">
            <v>Ingreso</v>
          </cell>
          <cell r="F357" t="str">
            <v>Servicio</v>
          </cell>
          <cell r="G357" t="str">
            <v>Baño y Corte</v>
          </cell>
          <cell r="H357">
            <v>35</v>
          </cell>
          <cell r="I357" t="str">
            <v>Efectivo</v>
          </cell>
        </row>
        <row r="358">
          <cell r="A358" t="str">
            <v>Marzo</v>
          </cell>
          <cell r="D358" t="str">
            <v>Ingreso</v>
          </cell>
          <cell r="F358" t="str">
            <v>Servicio</v>
          </cell>
          <cell r="G358" t="str">
            <v>Tratamiento</v>
          </cell>
          <cell r="H358">
            <v>15</v>
          </cell>
          <cell r="I358" t="str">
            <v>Efectivo</v>
          </cell>
        </row>
        <row r="359">
          <cell r="A359" t="str">
            <v>Marzo</v>
          </cell>
          <cell r="D359" t="str">
            <v>Ingreso</v>
          </cell>
          <cell r="F359" t="str">
            <v>Servicio</v>
          </cell>
          <cell r="G359" t="str">
            <v>Tratamiento</v>
          </cell>
          <cell r="H359">
            <v>13</v>
          </cell>
          <cell r="I359" t="str">
            <v>Efectivo</v>
          </cell>
        </row>
        <row r="360">
          <cell r="A360" t="str">
            <v>Marzo</v>
          </cell>
          <cell r="D360" t="str">
            <v>Ingreso</v>
          </cell>
          <cell r="F360" t="str">
            <v>Producto</v>
          </cell>
          <cell r="H360">
            <v>17</v>
          </cell>
          <cell r="I360" t="str">
            <v>Efectivo</v>
          </cell>
        </row>
        <row r="361">
          <cell r="A361" t="str">
            <v>Marzo</v>
          </cell>
          <cell r="D361" t="str">
            <v>Ingreso</v>
          </cell>
          <cell r="F361" t="str">
            <v>Servicio</v>
          </cell>
          <cell r="G361" t="str">
            <v>Tratamiento</v>
          </cell>
          <cell r="H361">
            <v>15</v>
          </cell>
          <cell r="I361" t="str">
            <v>Efectivo</v>
          </cell>
        </row>
        <row r="362">
          <cell r="A362" t="str">
            <v>Marzo</v>
          </cell>
          <cell r="D362" t="str">
            <v>Ingreso</v>
          </cell>
          <cell r="F362" t="str">
            <v>Servicio</v>
          </cell>
          <cell r="G362" t="str">
            <v>Vacuna</v>
          </cell>
          <cell r="H362">
            <v>60</v>
          </cell>
          <cell r="I362" t="str">
            <v>Efectivo</v>
          </cell>
        </row>
        <row r="363">
          <cell r="A363" t="str">
            <v>Marzo</v>
          </cell>
          <cell r="D363" t="str">
            <v>Ingreso</v>
          </cell>
          <cell r="F363" t="str">
            <v>Producto</v>
          </cell>
          <cell r="H363">
            <v>40</v>
          </cell>
          <cell r="I363" t="str">
            <v>Efectivo</v>
          </cell>
        </row>
        <row r="364">
          <cell r="A364" t="str">
            <v>Marzo</v>
          </cell>
          <cell r="D364" t="str">
            <v>Ingreso</v>
          </cell>
          <cell r="F364" t="str">
            <v>Producto</v>
          </cell>
          <cell r="H364">
            <v>24</v>
          </cell>
          <cell r="I364" t="str">
            <v>Efectivo</v>
          </cell>
        </row>
        <row r="365">
          <cell r="A365" t="str">
            <v>Marzo</v>
          </cell>
          <cell r="D365" t="str">
            <v>Ingreso</v>
          </cell>
          <cell r="F365" t="str">
            <v>Producto</v>
          </cell>
          <cell r="H365">
            <v>165</v>
          </cell>
          <cell r="I365" t="str">
            <v>Efectivo</v>
          </cell>
        </row>
        <row r="366">
          <cell r="A366" t="str">
            <v>Marzo</v>
          </cell>
          <cell r="D366" t="str">
            <v>Ingreso</v>
          </cell>
          <cell r="F366" t="str">
            <v>Producto</v>
          </cell>
          <cell r="H366">
            <v>5</v>
          </cell>
          <cell r="I366" t="str">
            <v>Efectivo</v>
          </cell>
        </row>
        <row r="367">
          <cell r="A367" t="str">
            <v>Marzo</v>
          </cell>
          <cell r="D367" t="str">
            <v>Ingreso</v>
          </cell>
          <cell r="F367" t="str">
            <v>Producto</v>
          </cell>
          <cell r="H367">
            <v>10</v>
          </cell>
          <cell r="I367" t="str">
            <v>Efectivo</v>
          </cell>
        </row>
        <row r="368">
          <cell r="A368" t="str">
            <v>Marzo</v>
          </cell>
          <cell r="D368" t="str">
            <v>Ingreso</v>
          </cell>
          <cell r="F368" t="str">
            <v>Producto</v>
          </cell>
          <cell r="H368">
            <v>9</v>
          </cell>
          <cell r="I368" t="str">
            <v>Efectivo</v>
          </cell>
        </row>
        <row r="369">
          <cell r="A369" t="str">
            <v>Marzo</v>
          </cell>
          <cell r="D369" t="str">
            <v>Ingreso</v>
          </cell>
          <cell r="F369" t="str">
            <v>Producto</v>
          </cell>
          <cell r="H369">
            <v>5.5</v>
          </cell>
          <cell r="I369" t="str">
            <v>Efectivo</v>
          </cell>
        </row>
        <row r="370">
          <cell r="A370" t="str">
            <v>Marzo</v>
          </cell>
          <cell r="D370" t="str">
            <v>Ingreso</v>
          </cell>
          <cell r="F370" t="str">
            <v>Producto</v>
          </cell>
          <cell r="H370">
            <v>10</v>
          </cell>
          <cell r="I370" t="str">
            <v>Yape</v>
          </cell>
        </row>
        <row r="371">
          <cell r="A371" t="str">
            <v>Marzo</v>
          </cell>
          <cell r="D371" t="str">
            <v>Ingreso</v>
          </cell>
          <cell r="F371" t="str">
            <v>Producto</v>
          </cell>
          <cell r="H371">
            <v>50</v>
          </cell>
          <cell r="I371" t="str">
            <v>Efectivo</v>
          </cell>
        </row>
        <row r="372">
          <cell r="A372" t="str">
            <v>Marzo</v>
          </cell>
          <cell r="D372" t="str">
            <v>Ingreso</v>
          </cell>
          <cell r="F372" t="str">
            <v>Producto</v>
          </cell>
          <cell r="H372">
            <v>33</v>
          </cell>
          <cell r="I372" t="str">
            <v>Efectivo</v>
          </cell>
        </row>
        <row r="373">
          <cell r="A373" t="str">
            <v>Marzo</v>
          </cell>
          <cell r="D373" t="str">
            <v>Ingreso</v>
          </cell>
          <cell r="F373" t="str">
            <v>Producto</v>
          </cell>
          <cell r="H373">
            <v>10</v>
          </cell>
          <cell r="I373" t="str">
            <v>Efectivo</v>
          </cell>
        </row>
        <row r="374">
          <cell r="A374" t="str">
            <v>Marzo</v>
          </cell>
          <cell r="D374" t="str">
            <v>Ingreso</v>
          </cell>
          <cell r="F374" t="str">
            <v>Servicio</v>
          </cell>
          <cell r="G374" t="str">
            <v>Vacuna</v>
          </cell>
          <cell r="H374">
            <v>50</v>
          </cell>
          <cell r="I374" t="str">
            <v>Efectivo</v>
          </cell>
        </row>
        <row r="375">
          <cell r="A375" t="str">
            <v>Marzo</v>
          </cell>
          <cell r="D375" t="str">
            <v>Ingreso</v>
          </cell>
          <cell r="F375" t="str">
            <v>Producto</v>
          </cell>
          <cell r="H375">
            <v>10</v>
          </cell>
          <cell r="I375" t="str">
            <v>Efectivo</v>
          </cell>
        </row>
        <row r="376">
          <cell r="A376" t="str">
            <v>Marzo</v>
          </cell>
          <cell r="D376" t="str">
            <v>Ingreso</v>
          </cell>
          <cell r="F376" t="str">
            <v>Producto</v>
          </cell>
          <cell r="H376">
            <v>9</v>
          </cell>
          <cell r="I376" t="str">
            <v>Efectivo</v>
          </cell>
        </row>
        <row r="377">
          <cell r="A377" t="str">
            <v>Marzo</v>
          </cell>
          <cell r="D377" t="str">
            <v>Ingreso</v>
          </cell>
          <cell r="F377" t="str">
            <v>Servicio</v>
          </cell>
          <cell r="G377" t="str">
            <v>Tratamiento</v>
          </cell>
          <cell r="H377">
            <v>15</v>
          </cell>
          <cell r="I377" t="str">
            <v>Efectivo</v>
          </cell>
        </row>
        <row r="378">
          <cell r="A378" t="str">
            <v>Marzo</v>
          </cell>
          <cell r="D378" t="str">
            <v>Ingreso</v>
          </cell>
          <cell r="F378" t="str">
            <v>Producto</v>
          </cell>
          <cell r="H378">
            <v>5</v>
          </cell>
          <cell r="I378" t="str">
            <v>Efectivo</v>
          </cell>
        </row>
        <row r="379">
          <cell r="A379" t="str">
            <v>Marzo</v>
          </cell>
          <cell r="D379" t="str">
            <v>Ingreso</v>
          </cell>
          <cell r="F379" t="str">
            <v>Producto</v>
          </cell>
          <cell r="H379">
            <v>45</v>
          </cell>
          <cell r="I379" t="str">
            <v>Efectivo</v>
          </cell>
        </row>
        <row r="380">
          <cell r="A380" t="str">
            <v>Abril</v>
          </cell>
          <cell r="D380" t="str">
            <v>Ingreso</v>
          </cell>
          <cell r="F380" t="str">
            <v>Producto</v>
          </cell>
          <cell r="H380">
            <v>6</v>
          </cell>
          <cell r="I380" t="str">
            <v>Efectivo</v>
          </cell>
        </row>
        <row r="381">
          <cell r="A381" t="str">
            <v>Abril</v>
          </cell>
          <cell r="D381" t="str">
            <v>Ingreso</v>
          </cell>
          <cell r="F381" t="str">
            <v>Producto</v>
          </cell>
          <cell r="H381">
            <v>15</v>
          </cell>
          <cell r="I381" t="str">
            <v>Efectivo</v>
          </cell>
        </row>
        <row r="382">
          <cell r="A382" t="str">
            <v>Abril</v>
          </cell>
          <cell r="D382" t="str">
            <v>Ingreso</v>
          </cell>
          <cell r="F382" t="str">
            <v>Producto</v>
          </cell>
          <cell r="H382">
            <v>30</v>
          </cell>
          <cell r="I382" t="str">
            <v>Yape</v>
          </cell>
        </row>
        <row r="383">
          <cell r="A383" t="str">
            <v>Abril</v>
          </cell>
          <cell r="D383" t="str">
            <v>Ingreso</v>
          </cell>
          <cell r="F383" t="str">
            <v>Producto</v>
          </cell>
          <cell r="H383">
            <v>11</v>
          </cell>
          <cell r="I383" t="str">
            <v>Yape</v>
          </cell>
        </row>
        <row r="384">
          <cell r="A384" t="str">
            <v>Abril</v>
          </cell>
          <cell r="D384" t="str">
            <v>Ingreso</v>
          </cell>
          <cell r="F384" t="str">
            <v>Producto</v>
          </cell>
          <cell r="H384">
            <v>5</v>
          </cell>
          <cell r="I384" t="str">
            <v>Efectivo</v>
          </cell>
        </row>
        <row r="385">
          <cell r="A385" t="str">
            <v>Abril</v>
          </cell>
          <cell r="D385" t="str">
            <v>Ingreso</v>
          </cell>
          <cell r="F385" t="str">
            <v>Producto</v>
          </cell>
          <cell r="H385">
            <v>12</v>
          </cell>
          <cell r="I385" t="str">
            <v>Efectivo</v>
          </cell>
        </row>
        <row r="386">
          <cell r="A386" t="str">
            <v>Abril</v>
          </cell>
          <cell r="D386" t="str">
            <v>Ingreso</v>
          </cell>
          <cell r="F386" t="str">
            <v>Producto</v>
          </cell>
          <cell r="H386">
            <v>4</v>
          </cell>
          <cell r="I386" t="str">
            <v>Efectivo</v>
          </cell>
        </row>
        <row r="387">
          <cell r="A387" t="str">
            <v>Abril</v>
          </cell>
          <cell r="D387" t="str">
            <v>Ingreso</v>
          </cell>
          <cell r="F387" t="str">
            <v>Producto</v>
          </cell>
          <cell r="H387">
            <v>8.5</v>
          </cell>
          <cell r="I387" t="str">
            <v>Efectivo</v>
          </cell>
        </row>
        <row r="388">
          <cell r="A388" t="str">
            <v>Abril</v>
          </cell>
          <cell r="D388" t="str">
            <v>Ingreso</v>
          </cell>
          <cell r="F388" t="str">
            <v>Producto</v>
          </cell>
          <cell r="H388">
            <v>10</v>
          </cell>
          <cell r="I388" t="str">
            <v>Efectivo</v>
          </cell>
        </row>
        <row r="389">
          <cell r="A389" t="str">
            <v>Abril</v>
          </cell>
          <cell r="D389" t="str">
            <v>Ingreso</v>
          </cell>
          <cell r="F389" t="str">
            <v>Producto</v>
          </cell>
          <cell r="H389">
            <v>10</v>
          </cell>
          <cell r="I389" t="str">
            <v>Efectivo</v>
          </cell>
        </row>
        <row r="390">
          <cell r="A390" t="str">
            <v>Abril</v>
          </cell>
          <cell r="D390" t="str">
            <v>Ingreso</v>
          </cell>
          <cell r="F390" t="str">
            <v>Servicio</v>
          </cell>
          <cell r="G390" t="str">
            <v>Baño</v>
          </cell>
          <cell r="H390">
            <v>30</v>
          </cell>
          <cell r="I390" t="str">
            <v>Efectivo</v>
          </cell>
        </row>
        <row r="391">
          <cell r="A391" t="str">
            <v>Abril</v>
          </cell>
          <cell r="D391" t="str">
            <v>Ingreso</v>
          </cell>
          <cell r="F391" t="str">
            <v>Servicio</v>
          </cell>
          <cell r="G391" t="str">
            <v>Baño y Corte</v>
          </cell>
          <cell r="H391">
            <v>60</v>
          </cell>
          <cell r="I391" t="str">
            <v>Efectivo</v>
          </cell>
        </row>
        <row r="392">
          <cell r="A392" t="str">
            <v>Abril</v>
          </cell>
          <cell r="D392" t="str">
            <v>Ingreso</v>
          </cell>
          <cell r="F392" t="str">
            <v>Producto</v>
          </cell>
          <cell r="H392">
            <v>40</v>
          </cell>
          <cell r="I392" t="str">
            <v>Efectivo</v>
          </cell>
        </row>
        <row r="393">
          <cell r="A393" t="str">
            <v>Abril</v>
          </cell>
          <cell r="D393" t="str">
            <v>Ingreso</v>
          </cell>
          <cell r="F393" t="str">
            <v>Producto</v>
          </cell>
          <cell r="H393">
            <v>35</v>
          </cell>
          <cell r="I393" t="str">
            <v>Efectivo</v>
          </cell>
        </row>
        <row r="394">
          <cell r="A394" t="str">
            <v>Abril</v>
          </cell>
          <cell r="D394" t="str">
            <v>Ingreso</v>
          </cell>
          <cell r="F394" t="str">
            <v>Producto</v>
          </cell>
          <cell r="H394">
            <v>40</v>
          </cell>
          <cell r="I394" t="str">
            <v>Efectivo</v>
          </cell>
        </row>
        <row r="395">
          <cell r="A395" t="str">
            <v>Abril</v>
          </cell>
          <cell r="D395" t="str">
            <v>Ingreso</v>
          </cell>
          <cell r="F395" t="str">
            <v>Producto</v>
          </cell>
          <cell r="H395">
            <v>15</v>
          </cell>
          <cell r="I395" t="str">
            <v>Efectivo</v>
          </cell>
        </row>
        <row r="396">
          <cell r="A396" t="str">
            <v>Abril</v>
          </cell>
          <cell r="D396" t="str">
            <v>Ingreso</v>
          </cell>
          <cell r="F396" t="str">
            <v>Servicio</v>
          </cell>
          <cell r="G396" t="str">
            <v>Tratamiento</v>
          </cell>
          <cell r="H396">
            <v>35</v>
          </cell>
          <cell r="I396" t="str">
            <v>Efectivo</v>
          </cell>
        </row>
        <row r="397">
          <cell r="A397" t="str">
            <v>Abril</v>
          </cell>
          <cell r="D397" t="str">
            <v>Ingreso</v>
          </cell>
          <cell r="F397" t="str">
            <v>Producto</v>
          </cell>
          <cell r="H397">
            <v>3</v>
          </cell>
          <cell r="I397" t="str">
            <v>Efectivo</v>
          </cell>
        </row>
        <row r="398">
          <cell r="A398" t="str">
            <v>Abril</v>
          </cell>
          <cell r="D398" t="str">
            <v>Ingreso</v>
          </cell>
          <cell r="F398" t="str">
            <v>Producto</v>
          </cell>
          <cell r="H398">
            <v>10</v>
          </cell>
          <cell r="I398" t="str">
            <v>Efectivo</v>
          </cell>
        </row>
        <row r="399">
          <cell r="A399" t="str">
            <v>Abril</v>
          </cell>
          <cell r="D399" t="str">
            <v>Ingreso</v>
          </cell>
          <cell r="F399" t="str">
            <v>Producto</v>
          </cell>
          <cell r="H399">
            <v>30</v>
          </cell>
          <cell r="I399" t="str">
            <v>Efectivo</v>
          </cell>
        </row>
        <row r="400">
          <cell r="A400" t="str">
            <v>Abril</v>
          </cell>
          <cell r="D400" t="str">
            <v>Ingreso</v>
          </cell>
          <cell r="F400" t="str">
            <v>Producto</v>
          </cell>
          <cell r="H400">
            <v>20</v>
          </cell>
          <cell r="I400" t="str">
            <v>Efectivo</v>
          </cell>
        </row>
        <row r="401">
          <cell r="A401" t="str">
            <v>Abril</v>
          </cell>
          <cell r="D401" t="str">
            <v>Ingreso</v>
          </cell>
          <cell r="F401" t="str">
            <v>Producto</v>
          </cell>
          <cell r="H401">
            <v>18</v>
          </cell>
          <cell r="I401" t="str">
            <v>Efectivo</v>
          </cell>
        </row>
        <row r="402">
          <cell r="A402" t="str">
            <v>Abril</v>
          </cell>
          <cell r="D402" t="str">
            <v>Ingreso</v>
          </cell>
          <cell r="F402" t="str">
            <v>Producto</v>
          </cell>
          <cell r="H402">
            <v>11.5</v>
          </cell>
          <cell r="I402" t="str">
            <v>Efectivo</v>
          </cell>
        </row>
        <row r="403">
          <cell r="A403" t="str">
            <v>Abril</v>
          </cell>
          <cell r="D403" t="str">
            <v>Ingreso</v>
          </cell>
          <cell r="F403" t="str">
            <v>Servicio</v>
          </cell>
          <cell r="G403" t="str">
            <v>Baño y Corte</v>
          </cell>
          <cell r="H403">
            <v>35</v>
          </cell>
          <cell r="I403" t="str">
            <v>Efectivo</v>
          </cell>
        </row>
        <row r="404">
          <cell r="A404" t="str">
            <v>Abril</v>
          </cell>
          <cell r="D404" t="str">
            <v>Ingreso</v>
          </cell>
          <cell r="F404" t="str">
            <v>Producto</v>
          </cell>
          <cell r="H404">
            <v>31</v>
          </cell>
          <cell r="I404" t="str">
            <v>Yape</v>
          </cell>
        </row>
        <row r="405">
          <cell r="A405" t="str">
            <v>Abril</v>
          </cell>
          <cell r="D405" t="str">
            <v>Ingreso</v>
          </cell>
          <cell r="F405" t="str">
            <v>Servicio</v>
          </cell>
          <cell r="G405" t="str">
            <v>Vacuna</v>
          </cell>
          <cell r="H405">
            <v>40</v>
          </cell>
          <cell r="I405" t="str">
            <v>Yape</v>
          </cell>
        </row>
        <row r="406">
          <cell r="A406" t="str">
            <v>Abril</v>
          </cell>
          <cell r="D406" t="str">
            <v>Ingreso</v>
          </cell>
          <cell r="F406" t="str">
            <v>Producto</v>
          </cell>
          <cell r="H406">
            <v>20</v>
          </cell>
          <cell r="I406" t="str">
            <v>Efectivo</v>
          </cell>
        </row>
        <row r="407">
          <cell r="A407" t="str">
            <v>Abril</v>
          </cell>
          <cell r="D407" t="str">
            <v>Ingreso</v>
          </cell>
          <cell r="F407" t="str">
            <v>Producto</v>
          </cell>
          <cell r="H407">
            <v>17</v>
          </cell>
          <cell r="I407" t="str">
            <v>Efectivo</v>
          </cell>
        </row>
        <row r="408">
          <cell r="A408" t="str">
            <v>Abril</v>
          </cell>
          <cell r="D408" t="str">
            <v>Ingreso</v>
          </cell>
          <cell r="F408" t="str">
            <v>Producto</v>
          </cell>
          <cell r="H408">
            <v>3.5</v>
          </cell>
          <cell r="I408" t="str">
            <v>Efectivo</v>
          </cell>
        </row>
        <row r="409">
          <cell r="A409" t="str">
            <v>Abril</v>
          </cell>
          <cell r="D409" t="str">
            <v>Ingreso</v>
          </cell>
          <cell r="F409" t="str">
            <v>Producto</v>
          </cell>
          <cell r="H409">
            <v>10</v>
          </cell>
          <cell r="I409" t="str">
            <v>Efectivo</v>
          </cell>
        </row>
        <row r="410">
          <cell r="A410" t="str">
            <v>Abril</v>
          </cell>
          <cell r="D410" t="str">
            <v>Ingreso</v>
          </cell>
          <cell r="F410" t="str">
            <v>Producto</v>
          </cell>
          <cell r="H410">
            <v>10</v>
          </cell>
          <cell r="I410" t="str">
            <v>Efectivo</v>
          </cell>
        </row>
        <row r="411">
          <cell r="A411" t="str">
            <v>Abril</v>
          </cell>
          <cell r="D411" t="str">
            <v>Ingreso</v>
          </cell>
          <cell r="F411" t="str">
            <v>Producto</v>
          </cell>
          <cell r="H411">
            <v>30</v>
          </cell>
          <cell r="I411" t="str">
            <v>Yape</v>
          </cell>
        </row>
        <row r="412">
          <cell r="A412" t="str">
            <v>Abril</v>
          </cell>
          <cell r="D412" t="str">
            <v>Ingreso</v>
          </cell>
          <cell r="F412" t="str">
            <v>Producto</v>
          </cell>
          <cell r="H412">
            <v>10</v>
          </cell>
          <cell r="I412" t="str">
            <v>Efectivo</v>
          </cell>
        </row>
        <row r="413">
          <cell r="A413" t="str">
            <v>Abril</v>
          </cell>
          <cell r="D413" t="str">
            <v>Ingreso</v>
          </cell>
          <cell r="F413" t="str">
            <v>Servicio</v>
          </cell>
          <cell r="G413" t="str">
            <v>Vacuna</v>
          </cell>
          <cell r="H413">
            <v>50</v>
          </cell>
          <cell r="I413" t="str">
            <v>Efectivo</v>
          </cell>
        </row>
        <row r="414">
          <cell r="A414" t="str">
            <v>Abril</v>
          </cell>
          <cell r="D414" t="str">
            <v>Ingreso</v>
          </cell>
          <cell r="F414" t="str">
            <v>Producto</v>
          </cell>
          <cell r="H414">
            <v>100</v>
          </cell>
          <cell r="I414" t="str">
            <v>Efectivo</v>
          </cell>
        </row>
        <row r="415">
          <cell r="A415" t="str">
            <v>Abril</v>
          </cell>
          <cell r="D415" t="str">
            <v>Ingreso</v>
          </cell>
          <cell r="F415" t="str">
            <v>Producto</v>
          </cell>
          <cell r="H415">
            <v>20</v>
          </cell>
          <cell r="I415" t="str">
            <v>Efectivo</v>
          </cell>
        </row>
        <row r="416">
          <cell r="A416" t="str">
            <v>Abril</v>
          </cell>
          <cell r="D416" t="str">
            <v>Ingreso</v>
          </cell>
          <cell r="F416" t="str">
            <v>Servicio</v>
          </cell>
          <cell r="G416" t="str">
            <v>Baño y Corte</v>
          </cell>
          <cell r="H416">
            <v>35</v>
          </cell>
          <cell r="I416" t="str">
            <v>Efectivo</v>
          </cell>
        </row>
        <row r="417">
          <cell r="A417" t="str">
            <v>Abril</v>
          </cell>
          <cell r="D417" t="str">
            <v>Ingreso</v>
          </cell>
          <cell r="F417" t="str">
            <v>Servicio</v>
          </cell>
          <cell r="G417" t="str">
            <v>Vacuna</v>
          </cell>
          <cell r="H417">
            <v>60</v>
          </cell>
          <cell r="I417" t="str">
            <v>Efectivo</v>
          </cell>
        </row>
        <row r="418">
          <cell r="A418" t="str">
            <v>Abril</v>
          </cell>
          <cell r="D418" t="str">
            <v>Ingreso</v>
          </cell>
          <cell r="F418" t="str">
            <v>Producto</v>
          </cell>
          <cell r="H418">
            <v>15</v>
          </cell>
          <cell r="I418" t="str">
            <v>Efectivo</v>
          </cell>
        </row>
        <row r="419">
          <cell r="A419" t="str">
            <v>Abril</v>
          </cell>
          <cell r="D419" t="str">
            <v>Ingreso</v>
          </cell>
          <cell r="F419" t="str">
            <v>Servicio</v>
          </cell>
          <cell r="G419" t="str">
            <v>Baño y Corte</v>
          </cell>
          <cell r="H419">
            <v>90</v>
          </cell>
          <cell r="I419" t="str">
            <v>Efectivo</v>
          </cell>
        </row>
        <row r="420">
          <cell r="A420" t="str">
            <v>Abril</v>
          </cell>
          <cell r="D420" t="str">
            <v>Ingreso</v>
          </cell>
          <cell r="F420" t="str">
            <v>Producto</v>
          </cell>
          <cell r="H420">
            <v>6</v>
          </cell>
          <cell r="I420" t="str">
            <v>Yape</v>
          </cell>
        </row>
        <row r="421">
          <cell r="A421" t="str">
            <v>Abril</v>
          </cell>
          <cell r="D421" t="str">
            <v>Ingreso</v>
          </cell>
          <cell r="F421" t="str">
            <v>Servicio</v>
          </cell>
          <cell r="G421" t="str">
            <v>Baño y Corte</v>
          </cell>
          <cell r="H421">
            <v>35</v>
          </cell>
          <cell r="I421" t="str">
            <v>Yape</v>
          </cell>
        </row>
        <row r="422">
          <cell r="A422" t="str">
            <v>Abril</v>
          </cell>
          <cell r="D422" t="str">
            <v>Ingreso</v>
          </cell>
          <cell r="F422" t="str">
            <v>Producto</v>
          </cell>
          <cell r="H422">
            <v>20</v>
          </cell>
          <cell r="I422" t="str">
            <v>Efectivo</v>
          </cell>
        </row>
        <row r="423">
          <cell r="A423" t="str">
            <v>Abril</v>
          </cell>
          <cell r="D423" t="str">
            <v>Ingreso</v>
          </cell>
          <cell r="F423" t="str">
            <v>Producto</v>
          </cell>
          <cell r="H423">
            <v>15</v>
          </cell>
          <cell r="I423" t="str">
            <v>Efectivo</v>
          </cell>
        </row>
        <row r="424">
          <cell r="A424" t="str">
            <v>Abril</v>
          </cell>
          <cell r="D424" t="str">
            <v>Ingreso</v>
          </cell>
          <cell r="F424" t="str">
            <v>Producto</v>
          </cell>
          <cell r="H424">
            <v>9</v>
          </cell>
          <cell r="I424" t="str">
            <v>Efectivo</v>
          </cell>
        </row>
        <row r="425">
          <cell r="A425" t="str">
            <v>Abril</v>
          </cell>
          <cell r="D425" t="str">
            <v>Ingreso</v>
          </cell>
          <cell r="F425" t="str">
            <v>Servicio</v>
          </cell>
          <cell r="G425" t="str">
            <v>Desparasitación</v>
          </cell>
          <cell r="H425">
            <v>92</v>
          </cell>
          <cell r="I425" t="str">
            <v>Efectivo</v>
          </cell>
        </row>
        <row r="426">
          <cell r="A426" t="str">
            <v>Abril</v>
          </cell>
          <cell r="D426" t="str">
            <v>Ingreso</v>
          </cell>
          <cell r="F426" t="str">
            <v>Producto</v>
          </cell>
          <cell r="H426">
            <v>25</v>
          </cell>
          <cell r="I426" t="str">
            <v>Efectivo</v>
          </cell>
        </row>
        <row r="427">
          <cell r="A427" t="str">
            <v>Abril</v>
          </cell>
          <cell r="D427" t="str">
            <v>Ingreso</v>
          </cell>
          <cell r="F427" t="str">
            <v>Servicio</v>
          </cell>
          <cell r="G427" t="str">
            <v>Baño y Corte</v>
          </cell>
          <cell r="H427">
            <v>35</v>
          </cell>
          <cell r="I427" t="str">
            <v>Efectivo</v>
          </cell>
        </row>
        <row r="428">
          <cell r="A428" t="str">
            <v>Abril</v>
          </cell>
          <cell r="D428" t="str">
            <v>Ingreso</v>
          </cell>
          <cell r="F428" t="str">
            <v>Producto</v>
          </cell>
          <cell r="H428">
            <v>50</v>
          </cell>
          <cell r="I428" t="str">
            <v>Efectivo</v>
          </cell>
        </row>
        <row r="429">
          <cell r="A429" t="str">
            <v>Abril</v>
          </cell>
          <cell r="D429" t="str">
            <v>Ingreso</v>
          </cell>
          <cell r="F429" t="str">
            <v>Servicio</v>
          </cell>
          <cell r="G429" t="str">
            <v>Baño y Corte</v>
          </cell>
          <cell r="H429">
            <v>35</v>
          </cell>
          <cell r="I429" t="str">
            <v>Efectivo</v>
          </cell>
        </row>
        <row r="430">
          <cell r="A430" t="str">
            <v>Abril</v>
          </cell>
          <cell r="D430" t="str">
            <v>Ingreso</v>
          </cell>
          <cell r="F430" t="str">
            <v>Servicio</v>
          </cell>
          <cell r="G430" t="str">
            <v>Otro servicio</v>
          </cell>
          <cell r="H430">
            <v>35</v>
          </cell>
          <cell r="I430" t="str">
            <v>Efectivo</v>
          </cell>
        </row>
        <row r="431">
          <cell r="A431" t="str">
            <v>Abril</v>
          </cell>
          <cell r="D431" t="str">
            <v>Ingreso</v>
          </cell>
          <cell r="F431" t="str">
            <v>Producto</v>
          </cell>
          <cell r="H431">
            <v>10</v>
          </cell>
          <cell r="I431" t="str">
            <v>Efectivo</v>
          </cell>
        </row>
        <row r="432">
          <cell r="A432" t="str">
            <v>Abril</v>
          </cell>
          <cell r="D432" t="str">
            <v>Ingreso</v>
          </cell>
          <cell r="F432" t="str">
            <v>Servicio</v>
          </cell>
          <cell r="G432" t="str">
            <v>Baño y Corte</v>
          </cell>
          <cell r="H432">
            <v>35</v>
          </cell>
          <cell r="I432" t="str">
            <v>Efectivo</v>
          </cell>
        </row>
        <row r="433">
          <cell r="A433" t="str">
            <v>Abril</v>
          </cell>
          <cell r="D433" t="str">
            <v>Ingreso</v>
          </cell>
          <cell r="F433" t="str">
            <v>Producto</v>
          </cell>
          <cell r="H433">
            <v>30</v>
          </cell>
          <cell r="I433" t="str">
            <v>Efectivo</v>
          </cell>
        </row>
        <row r="434">
          <cell r="A434" t="str">
            <v>Abril</v>
          </cell>
          <cell r="D434" t="str">
            <v>Ingreso</v>
          </cell>
          <cell r="F434" t="str">
            <v>Producto</v>
          </cell>
          <cell r="H434">
            <v>16</v>
          </cell>
          <cell r="I434" t="str">
            <v>Efectivo</v>
          </cell>
        </row>
        <row r="435">
          <cell r="A435" t="str">
            <v>Abril</v>
          </cell>
          <cell r="D435" t="str">
            <v>Ingreso</v>
          </cell>
          <cell r="F435" t="str">
            <v>Producto</v>
          </cell>
          <cell r="H435">
            <v>70</v>
          </cell>
          <cell r="I435" t="str">
            <v>Efectivo</v>
          </cell>
        </row>
        <row r="436">
          <cell r="A436" t="str">
            <v>Abril</v>
          </cell>
          <cell r="D436" t="str">
            <v>Ingreso</v>
          </cell>
          <cell r="F436" t="str">
            <v>Servicio</v>
          </cell>
          <cell r="G436" t="str">
            <v>Baño y Corte</v>
          </cell>
          <cell r="H436">
            <v>30</v>
          </cell>
          <cell r="I436" t="str">
            <v>Efectivo</v>
          </cell>
        </row>
        <row r="437">
          <cell r="A437" t="str">
            <v>Abril</v>
          </cell>
          <cell r="D437" t="str">
            <v>Ingreso</v>
          </cell>
          <cell r="F437" t="str">
            <v>Producto</v>
          </cell>
          <cell r="H437">
            <v>20</v>
          </cell>
          <cell r="I437" t="str">
            <v>Efectivo</v>
          </cell>
        </row>
        <row r="438">
          <cell r="A438" t="str">
            <v>Abril</v>
          </cell>
          <cell r="D438" t="str">
            <v>Ingreso</v>
          </cell>
          <cell r="F438" t="str">
            <v>Servicio</v>
          </cell>
          <cell r="G438" t="str">
            <v>Desparasitación</v>
          </cell>
          <cell r="H438">
            <v>10</v>
          </cell>
          <cell r="I438" t="str">
            <v>Efectivo</v>
          </cell>
        </row>
        <row r="439">
          <cell r="A439" t="str">
            <v>Abril</v>
          </cell>
          <cell r="D439" t="str">
            <v>Ingreso</v>
          </cell>
          <cell r="F439" t="str">
            <v>Servicio</v>
          </cell>
          <cell r="G439" t="str">
            <v>Baño y Corte</v>
          </cell>
          <cell r="H439">
            <v>30</v>
          </cell>
          <cell r="I439" t="str">
            <v>Efectivo</v>
          </cell>
        </row>
        <row r="440">
          <cell r="A440" t="str">
            <v>Abril</v>
          </cell>
          <cell r="D440" t="str">
            <v>Ingreso</v>
          </cell>
          <cell r="F440" t="str">
            <v>Producto</v>
          </cell>
          <cell r="H440">
            <v>5</v>
          </cell>
          <cell r="I440" t="str">
            <v>Efectivo</v>
          </cell>
        </row>
        <row r="441">
          <cell r="A441" t="str">
            <v>Abril</v>
          </cell>
          <cell r="D441" t="str">
            <v>Ingreso</v>
          </cell>
          <cell r="F441" t="str">
            <v>Producto</v>
          </cell>
          <cell r="H441">
            <v>5</v>
          </cell>
          <cell r="I441" t="str">
            <v>Efectivo</v>
          </cell>
        </row>
        <row r="442">
          <cell r="A442" t="str">
            <v>Abril</v>
          </cell>
          <cell r="D442" t="str">
            <v>Ingreso</v>
          </cell>
          <cell r="F442" t="str">
            <v>Servicio</v>
          </cell>
          <cell r="G442" t="str">
            <v>Baño y Corte</v>
          </cell>
          <cell r="H442">
            <v>80</v>
          </cell>
          <cell r="I442" t="str">
            <v>Efectivo</v>
          </cell>
        </row>
        <row r="443">
          <cell r="A443" t="str">
            <v>Abril</v>
          </cell>
          <cell r="D443" t="str">
            <v>Ingreso</v>
          </cell>
          <cell r="F443" t="str">
            <v>Servicio</v>
          </cell>
          <cell r="G443" t="str">
            <v>Otro servicio</v>
          </cell>
          <cell r="H443">
            <v>60</v>
          </cell>
          <cell r="I443" t="str">
            <v>Efectivo</v>
          </cell>
        </row>
        <row r="444">
          <cell r="A444" t="str">
            <v>Abril</v>
          </cell>
          <cell r="D444" t="str">
            <v>Ingreso</v>
          </cell>
          <cell r="F444" t="str">
            <v>Servicio</v>
          </cell>
          <cell r="G444" t="str">
            <v>Tratamiento</v>
          </cell>
          <cell r="H444">
            <v>580</v>
          </cell>
          <cell r="I444" t="str">
            <v>Efectivo</v>
          </cell>
        </row>
        <row r="445">
          <cell r="A445" t="str">
            <v>Abril</v>
          </cell>
          <cell r="D445" t="str">
            <v>Ingreso</v>
          </cell>
          <cell r="F445" t="str">
            <v>Producto</v>
          </cell>
          <cell r="H445">
            <v>25</v>
          </cell>
          <cell r="I445" t="str">
            <v>Efectivo</v>
          </cell>
        </row>
        <row r="446">
          <cell r="A446" t="str">
            <v>Abril</v>
          </cell>
          <cell r="D446" t="str">
            <v>Ingreso</v>
          </cell>
          <cell r="F446" t="str">
            <v>Servicio</v>
          </cell>
          <cell r="G446" t="str">
            <v>Inyectable</v>
          </cell>
          <cell r="H446">
            <v>50</v>
          </cell>
          <cell r="I446" t="str">
            <v>Efectivo</v>
          </cell>
        </row>
        <row r="447">
          <cell r="A447" t="str">
            <v>Abril</v>
          </cell>
          <cell r="D447" t="str">
            <v>Ingreso</v>
          </cell>
          <cell r="F447" t="str">
            <v>Producto</v>
          </cell>
          <cell r="H447">
            <v>5</v>
          </cell>
          <cell r="I447" t="str">
            <v>Efectivo</v>
          </cell>
        </row>
        <row r="448">
          <cell r="A448" t="str">
            <v>Abril</v>
          </cell>
          <cell r="D448" t="str">
            <v>Ingreso</v>
          </cell>
          <cell r="F448" t="str">
            <v>Servicio</v>
          </cell>
          <cell r="G448" t="str">
            <v>Inyectable</v>
          </cell>
          <cell r="H448">
            <v>40</v>
          </cell>
          <cell r="I448" t="str">
            <v>Efectivo</v>
          </cell>
        </row>
        <row r="449">
          <cell r="A449" t="str">
            <v>Abril</v>
          </cell>
          <cell r="D449" t="str">
            <v>Ingreso</v>
          </cell>
          <cell r="F449" t="str">
            <v>Servicio</v>
          </cell>
          <cell r="G449" t="str">
            <v>Vacuna</v>
          </cell>
          <cell r="H449">
            <v>40</v>
          </cell>
          <cell r="I449" t="str">
            <v>Efectivo</v>
          </cell>
        </row>
        <row r="450">
          <cell r="A450" t="str">
            <v>Abril</v>
          </cell>
          <cell r="D450" t="str">
            <v>Ingreso</v>
          </cell>
          <cell r="F450" t="str">
            <v>Producto</v>
          </cell>
          <cell r="H450">
            <v>11.5</v>
          </cell>
          <cell r="I450" t="str">
            <v>Yape</v>
          </cell>
        </row>
        <row r="451">
          <cell r="A451" t="str">
            <v>Abril</v>
          </cell>
          <cell r="D451" t="str">
            <v>Ingreso</v>
          </cell>
          <cell r="F451" t="str">
            <v>Producto</v>
          </cell>
          <cell r="H451">
            <v>25</v>
          </cell>
          <cell r="I451" t="str">
            <v>Yape</v>
          </cell>
        </row>
        <row r="452">
          <cell r="A452" t="str">
            <v>Abril</v>
          </cell>
          <cell r="D452" t="str">
            <v>Ingreso</v>
          </cell>
          <cell r="F452" t="str">
            <v>Producto</v>
          </cell>
          <cell r="H452">
            <v>14</v>
          </cell>
          <cell r="I452" t="str">
            <v>Efectivo</v>
          </cell>
        </row>
        <row r="453">
          <cell r="A453" t="str">
            <v>Abril</v>
          </cell>
          <cell r="D453" t="str">
            <v>Egreso</v>
          </cell>
          <cell r="H453">
            <v>2.5</v>
          </cell>
          <cell r="I453" t="str">
            <v>Efectivo</v>
          </cell>
        </row>
        <row r="454">
          <cell r="A454" t="str">
            <v>Abril</v>
          </cell>
          <cell r="D454" t="str">
            <v>Egreso</v>
          </cell>
          <cell r="H454">
            <v>7</v>
          </cell>
          <cell r="I454" t="str">
            <v>Efectivo</v>
          </cell>
        </row>
        <row r="455">
          <cell r="A455" t="str">
            <v>Abril</v>
          </cell>
          <cell r="D455" t="str">
            <v>Egreso</v>
          </cell>
          <cell r="H455">
            <v>7</v>
          </cell>
          <cell r="I455" t="str">
            <v>Efectivo</v>
          </cell>
        </row>
        <row r="456">
          <cell r="A456" t="str">
            <v>Abril</v>
          </cell>
          <cell r="D456" t="str">
            <v>Ingreso</v>
          </cell>
          <cell r="F456" t="str">
            <v>Producto</v>
          </cell>
          <cell r="H456">
            <v>6</v>
          </cell>
          <cell r="I456" t="str">
            <v>Efectivo</v>
          </cell>
        </row>
        <row r="457">
          <cell r="A457" t="str">
            <v>Abril</v>
          </cell>
          <cell r="D457" t="str">
            <v>Ingreso</v>
          </cell>
          <cell r="F457" t="str">
            <v>Servicio</v>
          </cell>
          <cell r="G457" t="str">
            <v>Baño y Corte</v>
          </cell>
          <cell r="H457">
            <v>45</v>
          </cell>
          <cell r="I457" t="str">
            <v>Efectivo</v>
          </cell>
        </row>
        <row r="458">
          <cell r="A458" t="str">
            <v>Abril</v>
          </cell>
          <cell r="D458" t="str">
            <v>Ingreso</v>
          </cell>
          <cell r="F458" t="str">
            <v>Servicio</v>
          </cell>
          <cell r="G458" t="str">
            <v>Tratamiento</v>
          </cell>
          <cell r="H458">
            <v>90</v>
          </cell>
          <cell r="I458" t="str">
            <v>Efectivo</v>
          </cell>
        </row>
        <row r="459">
          <cell r="A459" t="str">
            <v>Abril</v>
          </cell>
          <cell r="D459" t="str">
            <v>Ingreso</v>
          </cell>
          <cell r="F459" t="str">
            <v>Servicio</v>
          </cell>
          <cell r="G459" t="str">
            <v>Tratamiento</v>
          </cell>
          <cell r="H459">
            <v>35</v>
          </cell>
          <cell r="I459" t="str">
            <v>Efectivo</v>
          </cell>
        </row>
        <row r="460">
          <cell r="A460" t="str">
            <v>Abril</v>
          </cell>
          <cell r="D460" t="str">
            <v>Ingreso</v>
          </cell>
          <cell r="F460" t="str">
            <v>Producto</v>
          </cell>
          <cell r="H460">
            <v>8</v>
          </cell>
          <cell r="I460" t="str">
            <v>Efectivo</v>
          </cell>
        </row>
        <row r="461">
          <cell r="A461" t="str">
            <v>Abril</v>
          </cell>
          <cell r="D461" t="str">
            <v>Ingreso</v>
          </cell>
          <cell r="F461" t="str">
            <v>Producto</v>
          </cell>
          <cell r="H461">
            <v>9</v>
          </cell>
          <cell r="I461" t="str">
            <v>Efectivo</v>
          </cell>
        </row>
        <row r="462">
          <cell r="A462" t="str">
            <v>Abril</v>
          </cell>
          <cell r="D462" t="str">
            <v>Ingreso</v>
          </cell>
          <cell r="F462" t="str">
            <v>Producto</v>
          </cell>
          <cell r="H462">
            <v>18</v>
          </cell>
          <cell r="I462" t="str">
            <v>Efectivo</v>
          </cell>
        </row>
        <row r="463">
          <cell r="A463" t="str">
            <v>Abril</v>
          </cell>
          <cell r="D463" t="str">
            <v>Ingreso</v>
          </cell>
          <cell r="F463" t="str">
            <v>Servicio</v>
          </cell>
          <cell r="G463" t="str">
            <v>Baño y Corte</v>
          </cell>
          <cell r="H463">
            <v>35</v>
          </cell>
          <cell r="I463" t="str">
            <v>Yape</v>
          </cell>
        </row>
        <row r="464">
          <cell r="A464" t="str">
            <v>Abril</v>
          </cell>
          <cell r="D464" t="str">
            <v>Ingreso</v>
          </cell>
          <cell r="F464" t="str">
            <v>Servicio</v>
          </cell>
          <cell r="G464" t="str">
            <v>Baño y Corte</v>
          </cell>
          <cell r="H464">
            <v>40</v>
          </cell>
          <cell r="I464" t="str">
            <v>Efectivo</v>
          </cell>
        </row>
        <row r="465">
          <cell r="A465" t="str">
            <v>Abril</v>
          </cell>
          <cell r="D465" t="str">
            <v>Ingreso</v>
          </cell>
          <cell r="F465" t="str">
            <v>Producto</v>
          </cell>
          <cell r="H465">
            <v>35</v>
          </cell>
          <cell r="I465" t="str">
            <v>Efectivo</v>
          </cell>
        </row>
        <row r="466">
          <cell r="A466" t="str">
            <v>Abril</v>
          </cell>
          <cell r="D466" t="str">
            <v>Ingreso</v>
          </cell>
          <cell r="F466" t="str">
            <v>Servicio</v>
          </cell>
          <cell r="G466" t="str">
            <v>Desparasitación</v>
          </cell>
          <cell r="H466">
            <v>10</v>
          </cell>
          <cell r="I466" t="str">
            <v>Efectivo</v>
          </cell>
        </row>
        <row r="467">
          <cell r="A467" t="str">
            <v>Abril</v>
          </cell>
          <cell r="D467" t="str">
            <v>Ingreso</v>
          </cell>
          <cell r="F467" t="str">
            <v>Servicio</v>
          </cell>
          <cell r="G467" t="str">
            <v>Baño</v>
          </cell>
          <cell r="H467">
            <v>80</v>
          </cell>
          <cell r="I467" t="str">
            <v>Efectivo</v>
          </cell>
        </row>
        <row r="468">
          <cell r="A468" t="str">
            <v>Abril</v>
          </cell>
          <cell r="D468" t="str">
            <v>Ingreso</v>
          </cell>
          <cell r="F468" t="str">
            <v>Servicio</v>
          </cell>
          <cell r="G468" t="str">
            <v>Baño y Corte</v>
          </cell>
          <cell r="H468">
            <v>35</v>
          </cell>
          <cell r="I468" t="str">
            <v>Efectivo</v>
          </cell>
        </row>
        <row r="469">
          <cell r="A469" t="str">
            <v>Abril</v>
          </cell>
          <cell r="D469" t="str">
            <v>Ingreso</v>
          </cell>
          <cell r="F469" t="str">
            <v>Servicio</v>
          </cell>
          <cell r="G469" t="str">
            <v>Baño y Corte</v>
          </cell>
          <cell r="H469">
            <v>35</v>
          </cell>
          <cell r="I469" t="str">
            <v>Yape</v>
          </cell>
        </row>
        <row r="470">
          <cell r="A470" t="str">
            <v>Abril</v>
          </cell>
          <cell r="D470" t="str">
            <v>Ingreso</v>
          </cell>
          <cell r="F470" t="str">
            <v>Servicio</v>
          </cell>
          <cell r="G470" t="str">
            <v>Desparasitación</v>
          </cell>
          <cell r="H470">
            <v>5</v>
          </cell>
          <cell r="I470" t="str">
            <v>Efectivo</v>
          </cell>
        </row>
        <row r="471">
          <cell r="A471" t="str">
            <v>Abril</v>
          </cell>
          <cell r="D471" t="str">
            <v>Ingreso</v>
          </cell>
          <cell r="F471" t="str">
            <v>Producto</v>
          </cell>
          <cell r="H471">
            <v>10</v>
          </cell>
          <cell r="I471" t="str">
            <v>Efectivo</v>
          </cell>
        </row>
        <row r="472">
          <cell r="A472" t="str">
            <v>Abril</v>
          </cell>
          <cell r="D472" t="str">
            <v>Ingreso</v>
          </cell>
          <cell r="F472" t="str">
            <v>Producto</v>
          </cell>
          <cell r="H472">
            <v>11</v>
          </cell>
          <cell r="I472" t="str">
            <v>Efectivo</v>
          </cell>
        </row>
        <row r="473">
          <cell r="A473" t="str">
            <v>Abril</v>
          </cell>
          <cell r="D473" t="str">
            <v>Ingreso</v>
          </cell>
          <cell r="F473" t="str">
            <v>Servicio</v>
          </cell>
          <cell r="G473" t="str">
            <v>Vacuna</v>
          </cell>
          <cell r="H473">
            <v>98</v>
          </cell>
          <cell r="I473" t="str">
            <v>Yape</v>
          </cell>
        </row>
        <row r="474">
          <cell r="A474" t="str">
            <v>Abril</v>
          </cell>
          <cell r="D474" t="str">
            <v>Ingreso</v>
          </cell>
          <cell r="F474" t="str">
            <v>Producto</v>
          </cell>
          <cell r="H474">
            <v>35</v>
          </cell>
          <cell r="I474" t="str">
            <v>Efectivo</v>
          </cell>
        </row>
        <row r="475">
          <cell r="A475" t="str">
            <v>Abril</v>
          </cell>
          <cell r="D475" t="str">
            <v>Ingreso</v>
          </cell>
          <cell r="F475" t="str">
            <v>Producto</v>
          </cell>
          <cell r="H475">
            <v>10</v>
          </cell>
          <cell r="I475" t="str">
            <v>Efectivo</v>
          </cell>
        </row>
        <row r="476">
          <cell r="A476" t="str">
            <v>Abril</v>
          </cell>
          <cell r="D476" t="str">
            <v>Ingreso</v>
          </cell>
          <cell r="F476" t="str">
            <v>Producto</v>
          </cell>
          <cell r="H476">
            <v>6</v>
          </cell>
          <cell r="I476" t="str">
            <v>Efectivo</v>
          </cell>
        </row>
        <row r="477">
          <cell r="A477" t="str">
            <v>Abril</v>
          </cell>
          <cell r="D477" t="str">
            <v>Ingreso</v>
          </cell>
          <cell r="F477" t="str">
            <v>Producto</v>
          </cell>
          <cell r="H477">
            <v>40</v>
          </cell>
          <cell r="I477" t="str">
            <v>Efectivo</v>
          </cell>
        </row>
        <row r="478">
          <cell r="A478" t="str">
            <v>Abril</v>
          </cell>
          <cell r="D478" t="str">
            <v>Ingreso</v>
          </cell>
          <cell r="F478" t="str">
            <v>Servicio</v>
          </cell>
          <cell r="G478" t="str">
            <v>Tratamiento</v>
          </cell>
          <cell r="H478">
            <v>110</v>
          </cell>
          <cell r="I478" t="str">
            <v>Efectivo</v>
          </cell>
        </row>
        <row r="479">
          <cell r="A479" t="str">
            <v>Abril</v>
          </cell>
          <cell r="D479" t="str">
            <v>Ingreso</v>
          </cell>
          <cell r="F479" t="str">
            <v>Servicio</v>
          </cell>
          <cell r="G479" t="str">
            <v>Cirugía / Esterilización</v>
          </cell>
          <cell r="H479">
            <v>50</v>
          </cell>
          <cell r="I479" t="str">
            <v>Efectivo</v>
          </cell>
        </row>
        <row r="480">
          <cell r="A480" t="str">
            <v>Abril</v>
          </cell>
          <cell r="D480" t="str">
            <v>Ingreso</v>
          </cell>
          <cell r="F480" t="str">
            <v>Producto</v>
          </cell>
          <cell r="H480">
            <v>50</v>
          </cell>
          <cell r="I480" t="str">
            <v>Efectivo</v>
          </cell>
        </row>
        <row r="481">
          <cell r="A481" t="str">
            <v>Abril</v>
          </cell>
          <cell r="D481" t="str">
            <v>Ingreso</v>
          </cell>
          <cell r="F481" t="str">
            <v>Producto</v>
          </cell>
          <cell r="H481">
            <v>29</v>
          </cell>
          <cell r="I481" t="str">
            <v>Yape</v>
          </cell>
        </row>
        <row r="482">
          <cell r="A482" t="str">
            <v>Abril</v>
          </cell>
          <cell r="D482" t="str">
            <v>Ingreso</v>
          </cell>
          <cell r="F482" t="str">
            <v>Producto</v>
          </cell>
          <cell r="H482">
            <v>10</v>
          </cell>
          <cell r="I482" t="str">
            <v>Yape</v>
          </cell>
        </row>
        <row r="483">
          <cell r="A483" t="str">
            <v>Abril</v>
          </cell>
          <cell r="D483" t="str">
            <v>Ingreso</v>
          </cell>
          <cell r="F483" t="str">
            <v>Producto</v>
          </cell>
          <cell r="H483">
            <v>10</v>
          </cell>
          <cell r="I483" t="str">
            <v>Efectivo</v>
          </cell>
        </row>
        <row r="484">
          <cell r="A484" t="str">
            <v>Abril</v>
          </cell>
          <cell r="D484" t="str">
            <v>Ingreso</v>
          </cell>
          <cell r="F484" t="str">
            <v>Producto</v>
          </cell>
          <cell r="H484">
            <v>2</v>
          </cell>
          <cell r="I484" t="str">
            <v>Efectivo</v>
          </cell>
        </row>
        <row r="485">
          <cell r="A485" t="str">
            <v>Abril</v>
          </cell>
          <cell r="D485" t="str">
            <v>Ingreso</v>
          </cell>
          <cell r="F485" t="str">
            <v>Servicio</v>
          </cell>
          <cell r="G485" t="str">
            <v>Inyectable</v>
          </cell>
          <cell r="H485">
            <v>14</v>
          </cell>
          <cell r="I485" t="str">
            <v>Efectivo</v>
          </cell>
        </row>
        <row r="486">
          <cell r="A486" t="str">
            <v>Abril</v>
          </cell>
          <cell r="D486" t="str">
            <v>Ingreso</v>
          </cell>
          <cell r="F486" t="str">
            <v>Producto</v>
          </cell>
          <cell r="H486">
            <v>5</v>
          </cell>
          <cell r="I486" t="str">
            <v>Efectivo</v>
          </cell>
        </row>
        <row r="487">
          <cell r="A487" t="str">
            <v>Abril</v>
          </cell>
          <cell r="D487" t="str">
            <v>Ingreso</v>
          </cell>
          <cell r="F487" t="str">
            <v>Producto</v>
          </cell>
          <cell r="H487">
            <v>13</v>
          </cell>
          <cell r="I487" t="str">
            <v>Efectivo</v>
          </cell>
        </row>
        <row r="488">
          <cell r="A488" t="str">
            <v>Abril</v>
          </cell>
          <cell r="D488" t="str">
            <v>Ingreso</v>
          </cell>
          <cell r="F488" t="str">
            <v>Producto</v>
          </cell>
          <cell r="H488">
            <v>35</v>
          </cell>
          <cell r="I488" t="str">
            <v>Efectivo</v>
          </cell>
        </row>
        <row r="489">
          <cell r="A489" t="str">
            <v>Abril</v>
          </cell>
          <cell r="D489" t="str">
            <v>Ingreso</v>
          </cell>
          <cell r="F489" t="str">
            <v>Producto</v>
          </cell>
          <cell r="H489">
            <v>12</v>
          </cell>
          <cell r="I489" t="str">
            <v>Efectivo</v>
          </cell>
        </row>
        <row r="490">
          <cell r="A490" t="str">
            <v>Abril</v>
          </cell>
          <cell r="D490" t="str">
            <v>Ingreso</v>
          </cell>
          <cell r="F490" t="str">
            <v>Producto</v>
          </cell>
          <cell r="H490">
            <v>7</v>
          </cell>
          <cell r="I490" t="str">
            <v>Efectivo</v>
          </cell>
        </row>
        <row r="491">
          <cell r="A491" t="str">
            <v>Abril</v>
          </cell>
          <cell r="D491" t="str">
            <v>Ingreso</v>
          </cell>
          <cell r="F491" t="str">
            <v>Producto</v>
          </cell>
          <cell r="H491">
            <v>24</v>
          </cell>
          <cell r="I491" t="str">
            <v>Yape</v>
          </cell>
        </row>
        <row r="492">
          <cell r="A492" t="str">
            <v>Abril</v>
          </cell>
          <cell r="D492" t="str">
            <v>Ingreso</v>
          </cell>
          <cell r="F492" t="str">
            <v>Servicio</v>
          </cell>
          <cell r="G492" t="str">
            <v>Otro servicio</v>
          </cell>
          <cell r="H492">
            <v>10</v>
          </cell>
          <cell r="I492" t="str">
            <v>Efectivo</v>
          </cell>
        </row>
        <row r="493">
          <cell r="A493" t="str">
            <v>Abril</v>
          </cell>
          <cell r="D493" t="str">
            <v>Ingreso</v>
          </cell>
          <cell r="F493" t="str">
            <v>Producto</v>
          </cell>
          <cell r="H493">
            <v>9</v>
          </cell>
          <cell r="I493" t="str">
            <v>Efectivo</v>
          </cell>
        </row>
        <row r="494">
          <cell r="A494" t="str">
            <v>Abril</v>
          </cell>
          <cell r="D494" t="str">
            <v>Ingreso</v>
          </cell>
          <cell r="F494" t="str">
            <v>Servicio</v>
          </cell>
          <cell r="G494" t="str">
            <v>Baño</v>
          </cell>
          <cell r="H494">
            <v>50</v>
          </cell>
          <cell r="I494" t="str">
            <v>Efectivo</v>
          </cell>
        </row>
        <row r="495">
          <cell r="A495" t="str">
            <v>Abril</v>
          </cell>
          <cell r="D495" t="str">
            <v>Ingreso</v>
          </cell>
          <cell r="F495" t="str">
            <v>Producto</v>
          </cell>
          <cell r="H495">
            <v>28</v>
          </cell>
          <cell r="I495" t="str">
            <v>Efectivo</v>
          </cell>
        </row>
        <row r="496">
          <cell r="A496" t="str">
            <v>Abril</v>
          </cell>
          <cell r="D496" t="str">
            <v>Ingreso</v>
          </cell>
          <cell r="F496" t="str">
            <v>Producto</v>
          </cell>
          <cell r="H496">
            <v>10</v>
          </cell>
          <cell r="I496" t="str">
            <v>Efectivo</v>
          </cell>
        </row>
        <row r="497">
          <cell r="A497" t="str">
            <v>Abril</v>
          </cell>
          <cell r="D497" t="str">
            <v>Ingreso</v>
          </cell>
          <cell r="F497" t="str">
            <v>Producto</v>
          </cell>
          <cell r="H497">
            <v>5.5</v>
          </cell>
          <cell r="I497" t="str">
            <v>Efectivo</v>
          </cell>
        </row>
        <row r="498">
          <cell r="A498" t="str">
            <v>Abril</v>
          </cell>
          <cell r="D498" t="str">
            <v>Ingreso</v>
          </cell>
          <cell r="F498" t="str">
            <v>Producto</v>
          </cell>
          <cell r="H498">
            <v>11</v>
          </cell>
          <cell r="I498" t="str">
            <v>Efectivo</v>
          </cell>
        </row>
        <row r="499">
          <cell r="A499" t="str">
            <v>Abril</v>
          </cell>
          <cell r="D499" t="str">
            <v>Ingreso</v>
          </cell>
          <cell r="F499" t="str">
            <v>Producto</v>
          </cell>
          <cell r="H499">
            <v>10</v>
          </cell>
          <cell r="I499" t="str">
            <v>Efectivo</v>
          </cell>
        </row>
        <row r="500">
          <cell r="A500" t="str">
            <v>Abril</v>
          </cell>
          <cell r="D500" t="str">
            <v>Ingreso</v>
          </cell>
          <cell r="F500" t="str">
            <v>Servicio</v>
          </cell>
          <cell r="G500" t="str">
            <v>Desparasitación</v>
          </cell>
          <cell r="H500">
            <v>40</v>
          </cell>
          <cell r="I500" t="str">
            <v>Efectivo</v>
          </cell>
        </row>
        <row r="501">
          <cell r="A501" t="str">
            <v>Abril</v>
          </cell>
          <cell r="D501" t="str">
            <v>Ingreso</v>
          </cell>
          <cell r="F501" t="str">
            <v>Producto</v>
          </cell>
          <cell r="H501">
            <v>12</v>
          </cell>
          <cell r="I501" t="str">
            <v>Efectivo</v>
          </cell>
        </row>
        <row r="502">
          <cell r="A502" t="str">
            <v>Abril</v>
          </cell>
          <cell r="D502" t="str">
            <v>Ingreso</v>
          </cell>
          <cell r="F502" t="str">
            <v>Producto</v>
          </cell>
          <cell r="H502">
            <v>5</v>
          </cell>
          <cell r="I502" t="str">
            <v>Efectivo</v>
          </cell>
        </row>
        <row r="503">
          <cell r="A503" t="str">
            <v>Abril</v>
          </cell>
          <cell r="D503" t="str">
            <v>Ingreso</v>
          </cell>
          <cell r="F503" t="str">
            <v>Producto</v>
          </cell>
          <cell r="H503">
            <v>10</v>
          </cell>
          <cell r="I503" t="str">
            <v>Efectivo</v>
          </cell>
        </row>
        <row r="504">
          <cell r="A504" t="str">
            <v>Abril</v>
          </cell>
          <cell r="D504" t="str">
            <v>Ingreso</v>
          </cell>
          <cell r="F504" t="str">
            <v>Servicio</v>
          </cell>
          <cell r="G504" t="str">
            <v>Baño y Corte</v>
          </cell>
          <cell r="H504">
            <v>55</v>
          </cell>
          <cell r="I504" t="str">
            <v>Yape</v>
          </cell>
        </row>
        <row r="505">
          <cell r="A505" t="str">
            <v>Abril</v>
          </cell>
          <cell r="D505" t="str">
            <v>Ingreso</v>
          </cell>
          <cell r="F505" t="str">
            <v>Servicio</v>
          </cell>
          <cell r="G505" t="str">
            <v>Baño y Corte</v>
          </cell>
          <cell r="H505">
            <v>45</v>
          </cell>
          <cell r="I505" t="str">
            <v>Efectivo</v>
          </cell>
        </row>
        <row r="506">
          <cell r="A506" t="str">
            <v>Abril</v>
          </cell>
          <cell r="D506" t="str">
            <v>Ingreso</v>
          </cell>
          <cell r="F506" t="str">
            <v>Servicio</v>
          </cell>
          <cell r="G506" t="str">
            <v>Baño y Corte</v>
          </cell>
          <cell r="H506">
            <v>30</v>
          </cell>
          <cell r="I506" t="str">
            <v>Yape</v>
          </cell>
        </row>
        <row r="507">
          <cell r="A507" t="str">
            <v>Abril</v>
          </cell>
          <cell r="D507" t="str">
            <v>Ingreso</v>
          </cell>
          <cell r="F507" t="str">
            <v>Producto</v>
          </cell>
          <cell r="H507">
            <v>40</v>
          </cell>
          <cell r="I507" t="str">
            <v>Efectivo</v>
          </cell>
        </row>
        <row r="508">
          <cell r="A508" t="str">
            <v>Abril</v>
          </cell>
          <cell r="D508" t="str">
            <v>Ingreso</v>
          </cell>
          <cell r="F508" t="str">
            <v>Producto</v>
          </cell>
          <cell r="H508">
            <v>40</v>
          </cell>
          <cell r="I508" t="str">
            <v>Yape</v>
          </cell>
        </row>
        <row r="509">
          <cell r="A509" t="str">
            <v>Abril</v>
          </cell>
          <cell r="D509" t="str">
            <v>Ingreso</v>
          </cell>
          <cell r="F509" t="str">
            <v>Producto</v>
          </cell>
          <cell r="H509">
            <v>5</v>
          </cell>
          <cell r="I509" t="str">
            <v>Efectivo</v>
          </cell>
        </row>
        <row r="510">
          <cell r="A510" t="str">
            <v>Abril</v>
          </cell>
          <cell r="D510" t="str">
            <v>Ingreso</v>
          </cell>
          <cell r="F510" t="str">
            <v>Producto</v>
          </cell>
          <cell r="H510">
            <v>30</v>
          </cell>
          <cell r="I510" t="str">
            <v>Efectivo</v>
          </cell>
        </row>
        <row r="511">
          <cell r="A511" t="str">
            <v>Abril</v>
          </cell>
          <cell r="D511" t="str">
            <v>Ingreso</v>
          </cell>
          <cell r="F511" t="str">
            <v>Servicio</v>
          </cell>
          <cell r="G511" t="str">
            <v>Vacuna</v>
          </cell>
          <cell r="H511">
            <v>40</v>
          </cell>
          <cell r="I511" t="str">
            <v>Efectivo</v>
          </cell>
        </row>
        <row r="512">
          <cell r="A512" t="str">
            <v>Abril</v>
          </cell>
          <cell r="D512" t="str">
            <v>Ingreso</v>
          </cell>
          <cell r="F512" t="str">
            <v>Producto</v>
          </cell>
          <cell r="H512">
            <v>6</v>
          </cell>
          <cell r="I512" t="str">
            <v>Efectivo</v>
          </cell>
        </row>
        <row r="513">
          <cell r="A513" t="str">
            <v>Abril</v>
          </cell>
          <cell r="D513" t="str">
            <v>Ingreso</v>
          </cell>
          <cell r="F513" t="str">
            <v>Producto</v>
          </cell>
          <cell r="H513">
            <v>10</v>
          </cell>
          <cell r="I513" t="str">
            <v>Efectivo</v>
          </cell>
        </row>
        <row r="514">
          <cell r="A514" t="str">
            <v>Abril</v>
          </cell>
          <cell r="D514" t="str">
            <v>Ingreso</v>
          </cell>
          <cell r="F514" t="str">
            <v>Producto</v>
          </cell>
          <cell r="H514">
            <v>5</v>
          </cell>
          <cell r="I514" t="str">
            <v>Efectivo</v>
          </cell>
        </row>
        <row r="515">
          <cell r="A515" t="str">
            <v>Abril</v>
          </cell>
          <cell r="D515" t="str">
            <v>Ingreso</v>
          </cell>
          <cell r="F515" t="str">
            <v>Producto</v>
          </cell>
          <cell r="H515">
            <v>11</v>
          </cell>
          <cell r="I515" t="str">
            <v>Efectivo</v>
          </cell>
        </row>
        <row r="516">
          <cell r="A516" t="str">
            <v>Abril</v>
          </cell>
          <cell r="D516" t="str">
            <v>Ingreso</v>
          </cell>
          <cell r="F516" t="str">
            <v>Servicio</v>
          </cell>
          <cell r="G516" t="str">
            <v>Baño y Corte</v>
          </cell>
          <cell r="H516">
            <v>75</v>
          </cell>
          <cell r="I516" t="str">
            <v>Yape</v>
          </cell>
        </row>
        <row r="517">
          <cell r="A517" t="str">
            <v>Abril</v>
          </cell>
          <cell r="D517" t="str">
            <v>Ingreso</v>
          </cell>
          <cell r="F517" t="str">
            <v>Servicio</v>
          </cell>
          <cell r="G517" t="str">
            <v>Baño</v>
          </cell>
          <cell r="H517">
            <v>30</v>
          </cell>
          <cell r="I517" t="str">
            <v>Efectivo</v>
          </cell>
        </row>
        <row r="518">
          <cell r="A518" t="str">
            <v>Abril</v>
          </cell>
          <cell r="D518" t="str">
            <v>Ingreso</v>
          </cell>
          <cell r="F518" t="str">
            <v>Producto</v>
          </cell>
          <cell r="H518">
            <v>55</v>
          </cell>
          <cell r="I518" t="str">
            <v>Yape</v>
          </cell>
        </row>
        <row r="519">
          <cell r="A519" t="str">
            <v>Abril</v>
          </cell>
          <cell r="D519" t="str">
            <v>Ingreso</v>
          </cell>
          <cell r="F519" t="str">
            <v>Servicio</v>
          </cell>
          <cell r="G519" t="str">
            <v>Baño y Corte</v>
          </cell>
          <cell r="H519">
            <v>30</v>
          </cell>
          <cell r="I519" t="str">
            <v>Yape</v>
          </cell>
        </row>
        <row r="520">
          <cell r="A520" t="str">
            <v>Abril</v>
          </cell>
          <cell r="D520" t="str">
            <v>Ingreso</v>
          </cell>
          <cell r="F520" t="str">
            <v>Producto</v>
          </cell>
          <cell r="H520">
            <v>5</v>
          </cell>
          <cell r="I520" t="str">
            <v>Efectivo</v>
          </cell>
        </row>
        <row r="521">
          <cell r="A521" t="str">
            <v>Abril</v>
          </cell>
          <cell r="D521" t="str">
            <v>Ingreso</v>
          </cell>
          <cell r="F521" t="str">
            <v>Servicio</v>
          </cell>
          <cell r="G521" t="str">
            <v>Vacuna</v>
          </cell>
          <cell r="H521">
            <v>80</v>
          </cell>
          <cell r="I521" t="str">
            <v>Efectivo</v>
          </cell>
        </row>
        <row r="522">
          <cell r="A522" t="str">
            <v>Abril</v>
          </cell>
          <cell r="D522" t="str">
            <v>Ingreso</v>
          </cell>
          <cell r="F522" t="str">
            <v>Servicio</v>
          </cell>
          <cell r="G522" t="str">
            <v>Tratamiento</v>
          </cell>
          <cell r="H522">
            <v>40</v>
          </cell>
          <cell r="I522" t="str">
            <v>Efectivo</v>
          </cell>
        </row>
        <row r="523">
          <cell r="A523" t="str">
            <v>Abril</v>
          </cell>
          <cell r="D523" t="str">
            <v>Ingreso</v>
          </cell>
          <cell r="F523" t="str">
            <v>Producto</v>
          </cell>
          <cell r="H523">
            <v>22</v>
          </cell>
          <cell r="I523" t="str">
            <v>Efectivo</v>
          </cell>
        </row>
        <row r="524">
          <cell r="A524" t="str">
            <v>Abril</v>
          </cell>
          <cell r="D524" t="str">
            <v>Ingreso</v>
          </cell>
          <cell r="F524" t="str">
            <v>Producto</v>
          </cell>
          <cell r="H524">
            <v>6</v>
          </cell>
          <cell r="I524" t="str">
            <v>Efectivo</v>
          </cell>
        </row>
        <row r="525">
          <cell r="A525" t="str">
            <v>Abril</v>
          </cell>
          <cell r="D525" t="str">
            <v>Ingreso</v>
          </cell>
          <cell r="F525" t="str">
            <v>Producto</v>
          </cell>
          <cell r="H525">
            <v>10</v>
          </cell>
          <cell r="I525" t="str">
            <v>Efectivo</v>
          </cell>
        </row>
        <row r="526">
          <cell r="A526" t="str">
            <v>Abril</v>
          </cell>
          <cell r="D526" t="str">
            <v>Ingreso</v>
          </cell>
          <cell r="F526" t="str">
            <v>Servicio</v>
          </cell>
          <cell r="G526" t="str">
            <v>Inyectable</v>
          </cell>
          <cell r="H526">
            <v>35</v>
          </cell>
          <cell r="I526" t="str">
            <v>Efectivo</v>
          </cell>
        </row>
        <row r="527">
          <cell r="A527" t="str">
            <v>Abril</v>
          </cell>
          <cell r="D527" t="str">
            <v>Ingreso</v>
          </cell>
          <cell r="F527" t="str">
            <v>Servicio</v>
          </cell>
          <cell r="G527" t="str">
            <v>Vacuna</v>
          </cell>
          <cell r="H527">
            <v>50</v>
          </cell>
          <cell r="I527" t="str">
            <v>Efectivo</v>
          </cell>
        </row>
        <row r="528">
          <cell r="A528" t="str">
            <v>Abril</v>
          </cell>
          <cell r="D528" t="str">
            <v>Ingreso</v>
          </cell>
          <cell r="F528" t="str">
            <v>Producto</v>
          </cell>
          <cell r="H528">
            <v>5.5</v>
          </cell>
          <cell r="I528" t="str">
            <v>Efectivo</v>
          </cell>
        </row>
        <row r="529">
          <cell r="A529" t="str">
            <v>Abril</v>
          </cell>
          <cell r="D529" t="str">
            <v>Ingreso</v>
          </cell>
          <cell r="F529" t="str">
            <v>Producto</v>
          </cell>
          <cell r="H529">
            <v>4.5</v>
          </cell>
          <cell r="I529" t="str">
            <v>Efectivo</v>
          </cell>
        </row>
        <row r="530">
          <cell r="A530" t="str">
            <v>Abril</v>
          </cell>
          <cell r="D530" t="str">
            <v>Ingreso</v>
          </cell>
          <cell r="F530" t="str">
            <v>Producto</v>
          </cell>
          <cell r="H530">
            <v>5</v>
          </cell>
          <cell r="I530" t="str">
            <v>Efectivo</v>
          </cell>
        </row>
        <row r="531">
          <cell r="A531" t="str">
            <v>Abril</v>
          </cell>
          <cell r="D531" t="str">
            <v>Ingreso</v>
          </cell>
          <cell r="F531" t="str">
            <v>Servicio</v>
          </cell>
          <cell r="G531" t="str">
            <v>Baño y Corte</v>
          </cell>
          <cell r="H531">
            <v>80</v>
          </cell>
          <cell r="I531" t="str">
            <v>Yape</v>
          </cell>
        </row>
        <row r="532">
          <cell r="A532" t="str">
            <v>Abril</v>
          </cell>
          <cell r="D532" t="str">
            <v>Ingreso</v>
          </cell>
          <cell r="F532" t="str">
            <v>Producto</v>
          </cell>
          <cell r="H532">
            <v>80</v>
          </cell>
          <cell r="I532" t="str">
            <v>Efectivo</v>
          </cell>
        </row>
        <row r="533">
          <cell r="A533" t="str">
            <v>Abril</v>
          </cell>
          <cell r="D533" t="str">
            <v>Ingreso</v>
          </cell>
          <cell r="F533" t="str">
            <v>Servicio</v>
          </cell>
          <cell r="G533" t="str">
            <v>Baño y Corte</v>
          </cell>
          <cell r="H533">
            <v>50</v>
          </cell>
          <cell r="I533" t="str">
            <v>Yape</v>
          </cell>
        </row>
        <row r="534">
          <cell r="A534" t="str">
            <v>Abril</v>
          </cell>
          <cell r="D534" t="str">
            <v>Ingreso</v>
          </cell>
          <cell r="F534" t="str">
            <v>Servicio</v>
          </cell>
          <cell r="G534" t="str">
            <v>Vacuna</v>
          </cell>
          <cell r="H534">
            <v>75</v>
          </cell>
          <cell r="I534" t="str">
            <v>Efectivo</v>
          </cell>
        </row>
        <row r="535">
          <cell r="A535" t="str">
            <v>Abril</v>
          </cell>
          <cell r="D535" t="str">
            <v>Ingreso</v>
          </cell>
          <cell r="F535" t="str">
            <v>Servicio</v>
          </cell>
          <cell r="G535" t="str">
            <v>Tratamiento</v>
          </cell>
          <cell r="H535">
            <v>100</v>
          </cell>
          <cell r="I535" t="str">
            <v>Efectivo</v>
          </cell>
        </row>
        <row r="536">
          <cell r="A536" t="str">
            <v>Abril</v>
          </cell>
          <cell r="D536" t="str">
            <v>Ingreso</v>
          </cell>
          <cell r="F536" t="str">
            <v>Producto</v>
          </cell>
          <cell r="H536">
            <v>5</v>
          </cell>
          <cell r="I536" t="str">
            <v>Efectivo</v>
          </cell>
        </row>
        <row r="537">
          <cell r="A537" t="str">
            <v>Abril</v>
          </cell>
          <cell r="D537" t="str">
            <v>Ingreso</v>
          </cell>
          <cell r="F537" t="str">
            <v>Servicio</v>
          </cell>
          <cell r="G537" t="str">
            <v>Baño</v>
          </cell>
          <cell r="H537">
            <v>148</v>
          </cell>
          <cell r="I537" t="str">
            <v>Efectivo</v>
          </cell>
        </row>
        <row r="538">
          <cell r="A538" t="str">
            <v>Abril</v>
          </cell>
          <cell r="D538" t="str">
            <v>Ingreso</v>
          </cell>
          <cell r="F538" t="str">
            <v>Servicio</v>
          </cell>
          <cell r="G538" t="str">
            <v>Baño y Corte</v>
          </cell>
          <cell r="H538">
            <v>35</v>
          </cell>
          <cell r="I538" t="str">
            <v>Yape</v>
          </cell>
        </row>
        <row r="539">
          <cell r="A539" t="str">
            <v>Abril</v>
          </cell>
          <cell r="D539" t="str">
            <v>Ingreso</v>
          </cell>
          <cell r="F539" t="str">
            <v>Producto</v>
          </cell>
          <cell r="H539">
            <v>10</v>
          </cell>
          <cell r="I539" t="str">
            <v>Efectivo</v>
          </cell>
        </row>
        <row r="540">
          <cell r="A540" t="str">
            <v>Abril</v>
          </cell>
          <cell r="D540" t="str">
            <v>Ingreso</v>
          </cell>
          <cell r="F540" t="str">
            <v>Servicio</v>
          </cell>
          <cell r="G540" t="str">
            <v>Baño y Corte</v>
          </cell>
          <cell r="H540">
            <v>60</v>
          </cell>
          <cell r="I540" t="str">
            <v>Efectivo</v>
          </cell>
        </row>
        <row r="541">
          <cell r="A541" t="str">
            <v>Abril</v>
          </cell>
          <cell r="D541" t="str">
            <v>Ingreso</v>
          </cell>
          <cell r="F541" t="str">
            <v>Producto</v>
          </cell>
          <cell r="H541">
            <v>9</v>
          </cell>
          <cell r="I541" t="str">
            <v>Efectivo</v>
          </cell>
        </row>
        <row r="542">
          <cell r="A542" t="str">
            <v>Abril</v>
          </cell>
          <cell r="D542" t="str">
            <v>Ingreso</v>
          </cell>
          <cell r="F542" t="str">
            <v>Servicio</v>
          </cell>
          <cell r="G542" t="str">
            <v>Inyectable</v>
          </cell>
          <cell r="H542">
            <v>235</v>
          </cell>
          <cell r="I542" t="str">
            <v>Efectivo</v>
          </cell>
        </row>
        <row r="543">
          <cell r="A543" t="str">
            <v>Abril</v>
          </cell>
          <cell r="D543" t="str">
            <v>Ingreso</v>
          </cell>
          <cell r="F543" t="str">
            <v>Servicio</v>
          </cell>
          <cell r="G543" t="str">
            <v>Baño y Corte</v>
          </cell>
          <cell r="H543">
            <v>35</v>
          </cell>
          <cell r="I543" t="str">
            <v>Efectivo</v>
          </cell>
        </row>
        <row r="544">
          <cell r="A544" t="str">
            <v>Abril</v>
          </cell>
          <cell r="D544" t="str">
            <v>Ingreso</v>
          </cell>
          <cell r="F544" t="str">
            <v>Producto</v>
          </cell>
          <cell r="H544">
            <v>37</v>
          </cell>
          <cell r="I544" t="str">
            <v>Efectivo</v>
          </cell>
        </row>
        <row r="545">
          <cell r="A545" t="str">
            <v>Abril</v>
          </cell>
          <cell r="D545" t="str">
            <v>Ingreso</v>
          </cell>
          <cell r="F545" t="str">
            <v>Producto</v>
          </cell>
          <cell r="H545">
            <v>8</v>
          </cell>
          <cell r="I545" t="str">
            <v>Efectivo</v>
          </cell>
        </row>
        <row r="546">
          <cell r="A546" t="str">
            <v>Abril</v>
          </cell>
          <cell r="D546" t="str">
            <v>Ingreso</v>
          </cell>
          <cell r="F546" t="str">
            <v>Servicio</v>
          </cell>
          <cell r="G546" t="str">
            <v>Baño y Corte</v>
          </cell>
          <cell r="H546">
            <v>35</v>
          </cell>
          <cell r="I546" t="str">
            <v>Efectivo</v>
          </cell>
        </row>
        <row r="547">
          <cell r="A547" t="str">
            <v>Abril</v>
          </cell>
          <cell r="D547" t="str">
            <v>Ingreso</v>
          </cell>
          <cell r="F547" t="str">
            <v>Servicio</v>
          </cell>
          <cell r="G547" t="str">
            <v>Baño y Corte</v>
          </cell>
          <cell r="H547">
            <v>75</v>
          </cell>
          <cell r="I547" t="str">
            <v>Efectivo</v>
          </cell>
        </row>
        <row r="548">
          <cell r="A548" t="str">
            <v>Abril</v>
          </cell>
          <cell r="D548" t="str">
            <v>Ingreso</v>
          </cell>
          <cell r="F548" t="str">
            <v>Servicio</v>
          </cell>
          <cell r="G548" t="str">
            <v>Baño y Corte</v>
          </cell>
          <cell r="H548">
            <v>40</v>
          </cell>
          <cell r="I548" t="str">
            <v>Efectivo</v>
          </cell>
        </row>
        <row r="549">
          <cell r="A549" t="str">
            <v>Abril</v>
          </cell>
          <cell r="D549" t="str">
            <v>Ingreso</v>
          </cell>
          <cell r="F549" t="str">
            <v>Servicio</v>
          </cell>
          <cell r="G549" t="str">
            <v>Baño y Corte</v>
          </cell>
          <cell r="H549">
            <v>50</v>
          </cell>
          <cell r="I549" t="str">
            <v>Efectivo</v>
          </cell>
        </row>
        <row r="550">
          <cell r="A550" t="str">
            <v>Abril</v>
          </cell>
          <cell r="D550" t="str">
            <v>Ingreso</v>
          </cell>
          <cell r="F550" t="str">
            <v>Servicio</v>
          </cell>
          <cell r="G550" t="str">
            <v>Desparasitación</v>
          </cell>
          <cell r="H550">
            <v>10</v>
          </cell>
          <cell r="I550" t="str">
            <v>Efectivo</v>
          </cell>
        </row>
        <row r="551">
          <cell r="A551" t="str">
            <v>Abril</v>
          </cell>
          <cell r="D551" t="str">
            <v>Ingreso</v>
          </cell>
          <cell r="F551" t="str">
            <v>Producto</v>
          </cell>
          <cell r="H551">
            <v>10</v>
          </cell>
          <cell r="I551" t="str">
            <v>Efectivo</v>
          </cell>
        </row>
        <row r="552">
          <cell r="A552" t="str">
            <v>Abril</v>
          </cell>
          <cell r="D552" t="str">
            <v>Ingreso</v>
          </cell>
          <cell r="F552" t="str">
            <v>Producto</v>
          </cell>
          <cell r="H552">
            <v>7</v>
          </cell>
          <cell r="I552" t="str">
            <v>Efectivo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4758-AAAB-4883-8915-FA4D37B74FCA}">
  <dimension ref="A1:AG104"/>
  <sheetViews>
    <sheetView topLeftCell="M1" zoomScale="42" workbookViewId="0">
      <selection sqref="A1:AG1"/>
    </sheetView>
  </sheetViews>
  <sheetFormatPr baseColWidth="10" defaultRowHeight="15" x14ac:dyDescent="0.25"/>
  <cols>
    <col min="1" max="1" width="4" bestFit="1" customWidth="1"/>
    <col min="2" max="2" width="10.140625" bestFit="1" customWidth="1"/>
    <col min="3" max="3" width="29" bestFit="1" customWidth="1"/>
    <col min="4" max="4" width="39.7109375" bestFit="1" customWidth="1"/>
    <col min="5" max="5" width="10" bestFit="1" customWidth="1"/>
    <col min="6" max="6" width="13.140625" bestFit="1" customWidth="1"/>
    <col min="7" max="7" width="7.7109375" bestFit="1" customWidth="1"/>
    <col min="8" max="8" width="15.5703125" bestFit="1" customWidth="1"/>
    <col min="9" max="9" width="8" bestFit="1" customWidth="1"/>
    <col min="10" max="10" width="15.7109375" bestFit="1" customWidth="1"/>
    <col min="11" max="11" width="25.140625" bestFit="1" customWidth="1"/>
    <col min="12" max="12" width="9" bestFit="1" customWidth="1"/>
    <col min="13" max="13" width="11.28515625" bestFit="1" customWidth="1"/>
    <col min="14" max="14" width="19.42578125" bestFit="1" customWidth="1"/>
    <col min="15" max="15" width="10.7109375" bestFit="1" customWidth="1"/>
    <col min="16" max="16" width="9.28515625" bestFit="1" customWidth="1"/>
    <col min="17" max="17" width="9.5703125" bestFit="1" customWidth="1"/>
    <col min="18" max="18" width="12.42578125" bestFit="1" customWidth="1"/>
    <col min="19" max="19" width="14.28515625" bestFit="1" customWidth="1"/>
    <col min="20" max="20" width="8.42578125" bestFit="1" customWidth="1"/>
    <col min="21" max="21" width="44" bestFit="1" customWidth="1"/>
    <col min="22" max="22" width="27.140625" bestFit="1" customWidth="1"/>
    <col min="23" max="23" width="24.28515625" bestFit="1" customWidth="1"/>
    <col min="24" max="24" width="33" bestFit="1" customWidth="1"/>
    <col min="25" max="25" width="19.7109375" bestFit="1" customWidth="1"/>
    <col min="26" max="26" width="33.140625" bestFit="1" customWidth="1"/>
    <col min="27" max="27" width="31.28515625" bestFit="1" customWidth="1"/>
    <col min="28" max="28" width="28.42578125" bestFit="1" customWidth="1"/>
    <col min="29" max="30" width="6.85546875" bestFit="1" customWidth="1"/>
    <col min="31" max="31" width="20.7109375" bestFit="1" customWidth="1"/>
    <col min="32" max="32" width="21.85546875" bestFit="1" customWidth="1"/>
    <col min="33" max="33" width="134" bestFit="1" customWidth="1"/>
  </cols>
  <sheetData>
    <row r="1" spans="1:33" ht="30" x14ac:dyDescent="0.5">
      <c r="A1" s="43" t="s">
        <v>1061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3" spans="1:33" x14ac:dyDescent="0.25">
      <c r="A3" s="1"/>
      <c r="B3" s="1"/>
      <c r="C3" s="2" t="s">
        <v>325</v>
      </c>
      <c r="D3" s="2"/>
      <c r="E3" s="2"/>
      <c r="F3" s="3" t="s">
        <v>326</v>
      </c>
      <c r="G3" s="3"/>
      <c r="H3" s="3"/>
      <c r="I3" s="3"/>
      <c r="J3" s="3"/>
      <c r="K3" s="3"/>
      <c r="L3" s="3"/>
      <c r="M3" s="3"/>
      <c r="N3" s="3"/>
      <c r="O3" s="3"/>
      <c r="P3" s="13" t="s">
        <v>327</v>
      </c>
      <c r="Q3" s="13"/>
      <c r="R3" s="13"/>
      <c r="S3" s="13"/>
      <c r="T3" s="13"/>
      <c r="U3" s="4" t="s">
        <v>328</v>
      </c>
      <c r="V3" s="4"/>
      <c r="W3" s="4"/>
      <c r="X3" s="4"/>
      <c r="Y3" s="4"/>
      <c r="Z3" s="5" t="s">
        <v>329</v>
      </c>
      <c r="AA3" s="5"/>
      <c r="AB3" s="5"/>
      <c r="AC3" s="5"/>
      <c r="AD3" s="5"/>
      <c r="AE3" s="15" t="s">
        <v>330</v>
      </c>
      <c r="AF3" s="15"/>
      <c r="AG3" s="6" t="s">
        <v>26</v>
      </c>
    </row>
    <row r="4" spans="1:33" x14ac:dyDescent="0.25">
      <c r="A4" s="1"/>
      <c r="B4" s="1" t="s">
        <v>331</v>
      </c>
      <c r="C4" s="6" t="s">
        <v>332</v>
      </c>
      <c r="D4" s="6" t="s">
        <v>333</v>
      </c>
      <c r="E4" s="6" t="s">
        <v>334</v>
      </c>
      <c r="F4" s="7" t="s">
        <v>335</v>
      </c>
      <c r="G4" s="7" t="s">
        <v>336</v>
      </c>
      <c r="H4" s="7" t="s">
        <v>337</v>
      </c>
      <c r="I4" s="7" t="s">
        <v>338</v>
      </c>
      <c r="J4" s="7" t="s">
        <v>339</v>
      </c>
      <c r="K4" s="7" t="s">
        <v>340</v>
      </c>
      <c r="L4" s="7" t="s">
        <v>341</v>
      </c>
      <c r="M4" s="7" t="s">
        <v>342</v>
      </c>
      <c r="N4" s="7" t="s">
        <v>343</v>
      </c>
      <c r="O4" s="7" t="s">
        <v>2</v>
      </c>
      <c r="P4" s="14" t="s">
        <v>344</v>
      </c>
      <c r="Q4" s="14" t="s">
        <v>345</v>
      </c>
      <c r="R4" s="14" t="s">
        <v>346</v>
      </c>
      <c r="S4" s="14" t="s">
        <v>347</v>
      </c>
      <c r="T4" s="14" t="s">
        <v>348</v>
      </c>
      <c r="U4" s="8" t="s">
        <v>349</v>
      </c>
      <c r="V4" s="8" t="s">
        <v>350</v>
      </c>
      <c r="W4" s="8" t="s">
        <v>351</v>
      </c>
      <c r="X4" s="8" t="s">
        <v>352</v>
      </c>
      <c r="Y4" s="8" t="s">
        <v>353</v>
      </c>
      <c r="Z4" s="9" t="s">
        <v>354</v>
      </c>
      <c r="AA4" s="9" t="s">
        <v>355</v>
      </c>
      <c r="AB4" s="9" t="s">
        <v>356</v>
      </c>
      <c r="AC4" s="9" t="s">
        <v>357</v>
      </c>
      <c r="AD4" s="9" t="s">
        <v>358</v>
      </c>
      <c r="AE4" s="16" t="s">
        <v>359</v>
      </c>
      <c r="AF4" s="16" t="s">
        <v>360</v>
      </c>
      <c r="AG4" s="1" t="s">
        <v>26</v>
      </c>
    </row>
    <row r="5" spans="1:33" x14ac:dyDescent="0.25">
      <c r="A5" s="1">
        <v>1</v>
      </c>
      <c r="B5" s="10" t="s">
        <v>361</v>
      </c>
      <c r="C5" s="11" t="s">
        <v>362</v>
      </c>
      <c r="D5" s="11" t="s">
        <v>363</v>
      </c>
      <c r="E5" s="11">
        <v>900544367</v>
      </c>
      <c r="F5" s="11" t="s">
        <v>364</v>
      </c>
      <c r="G5" s="11" t="s">
        <v>365</v>
      </c>
      <c r="H5" s="11" t="s">
        <v>366</v>
      </c>
      <c r="I5" s="11" t="s">
        <v>367</v>
      </c>
      <c r="J5" s="11" t="s">
        <v>368</v>
      </c>
      <c r="K5" s="11" t="s">
        <v>369</v>
      </c>
      <c r="L5" s="11" t="s">
        <v>370</v>
      </c>
      <c r="M5" s="11" t="s">
        <v>371</v>
      </c>
      <c r="N5" s="11" t="s">
        <v>372</v>
      </c>
      <c r="O5" s="12">
        <v>45708</v>
      </c>
      <c r="P5" s="11"/>
      <c r="Q5" s="11"/>
      <c r="R5" s="11"/>
      <c r="S5" s="11" t="s">
        <v>373</v>
      </c>
      <c r="T5" s="11"/>
      <c r="U5" s="11"/>
      <c r="V5" s="11"/>
      <c r="W5" s="11"/>
      <c r="X5" s="11"/>
      <c r="Y5" s="11"/>
      <c r="Z5" s="11" t="s">
        <v>374</v>
      </c>
      <c r="AA5" s="11" t="s">
        <v>375</v>
      </c>
      <c r="AB5" s="11" t="s">
        <v>376</v>
      </c>
      <c r="AC5" s="11" t="s">
        <v>377</v>
      </c>
      <c r="AD5" s="11"/>
      <c r="AE5" s="11" t="s">
        <v>378</v>
      </c>
      <c r="AF5" s="11" t="s">
        <v>379</v>
      </c>
      <c r="AG5" s="11" t="s">
        <v>380</v>
      </c>
    </row>
    <row r="6" spans="1:33" x14ac:dyDescent="0.25">
      <c r="A6" s="1">
        <v>2</v>
      </c>
      <c r="B6" s="10" t="s">
        <v>381</v>
      </c>
      <c r="C6" s="11" t="s">
        <v>382</v>
      </c>
      <c r="D6" s="11" t="s">
        <v>383</v>
      </c>
      <c r="E6" s="11">
        <v>957776195</v>
      </c>
      <c r="F6" s="11" t="s">
        <v>384</v>
      </c>
      <c r="G6" s="11" t="s">
        <v>365</v>
      </c>
      <c r="H6" s="11" t="s">
        <v>385</v>
      </c>
      <c r="I6" s="11" t="s">
        <v>386</v>
      </c>
      <c r="J6" s="11" t="s">
        <v>387</v>
      </c>
      <c r="K6" s="11" t="s">
        <v>369</v>
      </c>
      <c r="L6" s="11" t="s">
        <v>388</v>
      </c>
      <c r="M6" s="11" t="s">
        <v>371</v>
      </c>
      <c r="N6" s="11" t="s">
        <v>371</v>
      </c>
      <c r="O6" s="12">
        <v>46049</v>
      </c>
      <c r="P6" s="11"/>
      <c r="Q6" s="11"/>
      <c r="R6" s="11" t="s">
        <v>389</v>
      </c>
      <c r="S6" s="11"/>
      <c r="T6" s="11"/>
      <c r="U6" s="11"/>
      <c r="V6" s="11"/>
      <c r="W6" s="11"/>
      <c r="X6" s="11"/>
      <c r="Y6" s="11"/>
      <c r="Z6" s="11" t="s">
        <v>390</v>
      </c>
      <c r="AA6" s="11"/>
      <c r="AB6" s="11"/>
      <c r="AC6" s="11"/>
      <c r="AD6" s="11"/>
      <c r="AE6" s="11" t="s">
        <v>378</v>
      </c>
      <c r="AF6" s="11"/>
      <c r="AG6" s="11" t="s">
        <v>391</v>
      </c>
    </row>
    <row r="7" spans="1:33" x14ac:dyDescent="0.25">
      <c r="A7" s="1">
        <v>3</v>
      </c>
      <c r="B7" s="10" t="s">
        <v>361</v>
      </c>
      <c r="C7" s="11" t="s">
        <v>392</v>
      </c>
      <c r="D7" s="11" t="s">
        <v>393</v>
      </c>
      <c r="E7" s="11">
        <v>991975601</v>
      </c>
      <c r="F7" s="11" t="s">
        <v>394</v>
      </c>
      <c r="G7" s="11" t="s">
        <v>365</v>
      </c>
      <c r="H7" s="11" t="s">
        <v>395</v>
      </c>
      <c r="I7" s="11" t="s">
        <v>386</v>
      </c>
      <c r="J7" s="11" t="s">
        <v>368</v>
      </c>
      <c r="K7" s="11" t="s">
        <v>396</v>
      </c>
      <c r="L7" s="11" t="s">
        <v>397</v>
      </c>
      <c r="M7" s="11" t="s">
        <v>371</v>
      </c>
      <c r="N7" s="11" t="s">
        <v>371</v>
      </c>
      <c r="O7" s="12">
        <v>46061</v>
      </c>
      <c r="P7" s="11"/>
      <c r="Q7" s="11"/>
      <c r="R7" s="11" t="s">
        <v>398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x14ac:dyDescent="0.25">
      <c r="A8" s="1">
        <v>4</v>
      </c>
      <c r="B8" s="10" t="s">
        <v>361</v>
      </c>
      <c r="C8" s="11" t="s">
        <v>399</v>
      </c>
      <c r="D8" s="11" t="s">
        <v>400</v>
      </c>
      <c r="E8" s="11">
        <v>928151077</v>
      </c>
      <c r="F8" s="11" t="s">
        <v>401</v>
      </c>
      <c r="G8" s="11" t="s">
        <v>365</v>
      </c>
      <c r="H8" s="11" t="s">
        <v>402</v>
      </c>
      <c r="I8" s="11" t="s">
        <v>367</v>
      </c>
      <c r="J8" s="11" t="s">
        <v>403</v>
      </c>
      <c r="K8" s="11" t="s">
        <v>404</v>
      </c>
      <c r="L8" s="11" t="s">
        <v>405</v>
      </c>
      <c r="M8" s="11" t="s">
        <v>371</v>
      </c>
      <c r="N8" s="11" t="s">
        <v>406</v>
      </c>
      <c r="O8" s="12">
        <v>45732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407</v>
      </c>
      <c r="AA8" s="11"/>
      <c r="AB8" s="11"/>
      <c r="AC8" s="11"/>
      <c r="AD8" s="11"/>
      <c r="AE8" s="11"/>
      <c r="AF8" s="11"/>
      <c r="AG8" s="11" t="s">
        <v>408</v>
      </c>
    </row>
    <row r="9" spans="1:33" x14ac:dyDescent="0.25">
      <c r="A9" s="1">
        <v>5</v>
      </c>
      <c r="B9" s="10" t="s">
        <v>381</v>
      </c>
      <c r="C9" s="11" t="s">
        <v>409</v>
      </c>
      <c r="D9" s="11" t="s">
        <v>410</v>
      </c>
      <c r="E9" s="11">
        <v>967466511</v>
      </c>
      <c r="F9" s="11" t="s">
        <v>411</v>
      </c>
      <c r="G9" s="11" t="s">
        <v>412</v>
      </c>
      <c r="H9" s="11" t="s">
        <v>395</v>
      </c>
      <c r="I9" s="11" t="s">
        <v>386</v>
      </c>
      <c r="J9" s="11" t="s">
        <v>413</v>
      </c>
      <c r="K9" s="11" t="s">
        <v>369</v>
      </c>
      <c r="L9" s="11" t="s">
        <v>414</v>
      </c>
      <c r="M9" s="11" t="s">
        <v>406</v>
      </c>
      <c r="N9" s="11" t="s">
        <v>371</v>
      </c>
      <c r="O9" s="12">
        <v>45665</v>
      </c>
      <c r="P9" s="11"/>
      <c r="Q9" s="11"/>
      <c r="R9" s="11" t="s">
        <v>415</v>
      </c>
      <c r="S9" s="11"/>
      <c r="T9" s="11"/>
      <c r="U9" s="11" t="s">
        <v>416</v>
      </c>
      <c r="V9" s="11" t="s">
        <v>417</v>
      </c>
      <c r="W9" s="11" t="s">
        <v>418</v>
      </c>
      <c r="X9" s="11"/>
      <c r="Y9" s="11"/>
      <c r="Z9" s="11" t="s">
        <v>416</v>
      </c>
      <c r="AA9" s="11" t="s">
        <v>419</v>
      </c>
      <c r="AB9" s="11"/>
      <c r="AC9" s="11"/>
      <c r="AD9" s="11"/>
      <c r="AE9" s="11" t="s">
        <v>378</v>
      </c>
      <c r="AF9" s="11"/>
      <c r="AG9" s="11" t="s">
        <v>420</v>
      </c>
    </row>
    <row r="10" spans="1:33" x14ac:dyDescent="0.25">
      <c r="A10" s="1">
        <v>6</v>
      </c>
      <c r="B10" s="10" t="s">
        <v>361</v>
      </c>
      <c r="C10" s="11" t="s">
        <v>421</v>
      </c>
      <c r="D10" s="11" t="s">
        <v>422</v>
      </c>
      <c r="E10" s="11">
        <v>922665422</v>
      </c>
      <c r="F10" s="11" t="s">
        <v>423</v>
      </c>
      <c r="G10" s="11" t="s">
        <v>365</v>
      </c>
      <c r="H10" s="11" t="s">
        <v>385</v>
      </c>
      <c r="I10" s="11" t="s">
        <v>386</v>
      </c>
      <c r="J10" s="11" t="s">
        <v>424</v>
      </c>
      <c r="K10" s="11" t="s">
        <v>369</v>
      </c>
      <c r="L10" s="11" t="s">
        <v>425</v>
      </c>
      <c r="M10" s="11" t="s">
        <v>371</v>
      </c>
      <c r="N10" s="11" t="s">
        <v>371</v>
      </c>
      <c r="O10" s="12">
        <v>46119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x14ac:dyDescent="0.25">
      <c r="A11" s="1">
        <v>7</v>
      </c>
      <c r="B11" s="10" t="s">
        <v>381</v>
      </c>
      <c r="C11" s="11" t="s">
        <v>426</v>
      </c>
      <c r="D11" s="11" t="s">
        <v>427</v>
      </c>
      <c r="E11" s="11">
        <v>958315216</v>
      </c>
      <c r="F11" s="11" t="s">
        <v>428</v>
      </c>
      <c r="G11" s="11" t="s">
        <v>412</v>
      </c>
      <c r="H11" s="11" t="s">
        <v>395</v>
      </c>
      <c r="I11" s="11" t="s">
        <v>386</v>
      </c>
      <c r="J11" s="11" t="s">
        <v>429</v>
      </c>
      <c r="K11" s="11" t="s">
        <v>430</v>
      </c>
      <c r="L11" s="11" t="s">
        <v>431</v>
      </c>
      <c r="M11" s="11" t="s">
        <v>406</v>
      </c>
      <c r="N11" s="11" t="s">
        <v>371</v>
      </c>
      <c r="O11" s="12">
        <v>46137</v>
      </c>
      <c r="P11" s="11"/>
      <c r="Q11" s="11"/>
      <c r="R11" s="11" t="s">
        <v>398</v>
      </c>
      <c r="S11" s="11"/>
      <c r="T11" s="11"/>
      <c r="U11" s="11" t="s">
        <v>432</v>
      </c>
      <c r="V11" s="11" t="s">
        <v>433</v>
      </c>
      <c r="W11" s="11" t="s">
        <v>434</v>
      </c>
      <c r="X11" s="11"/>
      <c r="Y11" s="11"/>
      <c r="Z11" s="11"/>
      <c r="AA11" s="11"/>
      <c r="AB11" s="11"/>
      <c r="AC11" s="11"/>
      <c r="AD11" s="11"/>
      <c r="AE11" s="11" t="s">
        <v>378</v>
      </c>
      <c r="AF11" s="11"/>
      <c r="AG11" s="11" t="s">
        <v>435</v>
      </c>
    </row>
    <row r="12" spans="1:33" x14ac:dyDescent="0.25">
      <c r="A12" s="1">
        <v>8</v>
      </c>
      <c r="B12" s="10" t="s">
        <v>361</v>
      </c>
      <c r="C12" s="11" t="s">
        <v>436</v>
      </c>
      <c r="D12" s="11" t="s">
        <v>437</v>
      </c>
      <c r="E12" s="11">
        <v>972484098</v>
      </c>
      <c r="F12" s="11" t="s">
        <v>438</v>
      </c>
      <c r="G12" s="11" t="s">
        <v>365</v>
      </c>
      <c r="H12" s="11" t="s">
        <v>395</v>
      </c>
      <c r="I12" s="11" t="s">
        <v>386</v>
      </c>
      <c r="J12" s="11" t="s">
        <v>439</v>
      </c>
      <c r="K12" s="11" t="s">
        <v>440</v>
      </c>
      <c r="L12" s="11" t="s">
        <v>441</v>
      </c>
      <c r="M12" s="11" t="s">
        <v>371</v>
      </c>
      <c r="N12" s="11" t="s">
        <v>371</v>
      </c>
      <c r="O12" s="12">
        <v>45692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x14ac:dyDescent="0.25">
      <c r="A13" s="1">
        <v>9</v>
      </c>
      <c r="B13" s="10" t="s">
        <v>361</v>
      </c>
      <c r="C13" s="11" t="s">
        <v>442</v>
      </c>
      <c r="D13" s="11" t="s">
        <v>443</v>
      </c>
      <c r="E13" s="11">
        <v>920501946</v>
      </c>
      <c r="F13" s="11" t="s">
        <v>444</v>
      </c>
      <c r="G13" s="11" t="s">
        <v>412</v>
      </c>
      <c r="H13" s="11" t="s">
        <v>395</v>
      </c>
      <c r="I13" s="11" t="s">
        <v>386</v>
      </c>
      <c r="J13" s="11" t="s">
        <v>445</v>
      </c>
      <c r="K13" s="11" t="s">
        <v>446</v>
      </c>
      <c r="L13" s="11" t="s">
        <v>447</v>
      </c>
      <c r="M13" s="11" t="s">
        <v>371</v>
      </c>
      <c r="N13" s="11" t="s">
        <v>371</v>
      </c>
      <c r="O13" s="12">
        <v>45877</v>
      </c>
      <c r="P13" s="11"/>
      <c r="Q13" s="11"/>
      <c r="R13" s="11"/>
      <c r="S13" s="11"/>
      <c r="T13" s="11"/>
      <c r="U13" s="11" t="s">
        <v>448</v>
      </c>
      <c r="V13" s="11" t="s">
        <v>449</v>
      </c>
      <c r="W13" s="11"/>
      <c r="X13" s="11"/>
      <c r="Y13" s="11"/>
      <c r="Z13" s="11" t="s">
        <v>407</v>
      </c>
      <c r="AA13" s="11"/>
      <c r="AB13" s="11"/>
      <c r="AC13" s="11"/>
      <c r="AD13" s="11"/>
      <c r="AE13" s="11"/>
      <c r="AF13" s="11"/>
      <c r="AG13" s="11" t="s">
        <v>450</v>
      </c>
    </row>
    <row r="14" spans="1:33" x14ac:dyDescent="0.25">
      <c r="A14" s="1">
        <v>10</v>
      </c>
      <c r="B14" s="10" t="s">
        <v>361</v>
      </c>
      <c r="C14" s="11" t="s">
        <v>451</v>
      </c>
      <c r="D14" s="11" t="s">
        <v>452</v>
      </c>
      <c r="E14" s="11">
        <v>986955544</v>
      </c>
      <c r="F14" s="11" t="s">
        <v>453</v>
      </c>
      <c r="G14" s="11" t="s">
        <v>365</v>
      </c>
      <c r="H14" s="11" t="s">
        <v>395</v>
      </c>
      <c r="I14" s="11" t="s">
        <v>386</v>
      </c>
      <c r="J14" s="11" t="s">
        <v>387</v>
      </c>
      <c r="K14" s="11" t="s">
        <v>454</v>
      </c>
      <c r="L14" s="11" t="s">
        <v>455</v>
      </c>
      <c r="M14" s="11" t="s">
        <v>371</v>
      </c>
      <c r="N14" s="11" t="s">
        <v>371</v>
      </c>
      <c r="O14" s="12">
        <v>46128</v>
      </c>
      <c r="P14" s="11"/>
      <c r="Q14" s="11"/>
      <c r="R14" s="11" t="s">
        <v>456</v>
      </c>
      <c r="S14" s="11"/>
      <c r="T14" s="11"/>
      <c r="U14" s="11" t="s">
        <v>457</v>
      </c>
      <c r="V14" s="11" t="s">
        <v>458</v>
      </c>
      <c r="W14" s="11"/>
      <c r="X14" s="11"/>
      <c r="Y14" s="11"/>
      <c r="Z14" s="11"/>
      <c r="AA14" s="11"/>
      <c r="AB14" s="11"/>
      <c r="AC14" s="11"/>
      <c r="AD14" s="11"/>
      <c r="AE14" s="11" t="s">
        <v>459</v>
      </c>
      <c r="AF14" s="11"/>
      <c r="AG14" s="11" t="s">
        <v>460</v>
      </c>
    </row>
    <row r="15" spans="1:33" x14ac:dyDescent="0.25">
      <c r="A15" s="1">
        <v>11</v>
      </c>
      <c r="B15" s="10" t="s">
        <v>381</v>
      </c>
      <c r="C15" s="11" t="s">
        <v>461</v>
      </c>
      <c r="D15" s="11" t="s">
        <v>462</v>
      </c>
      <c r="E15" s="11">
        <v>922678247</v>
      </c>
      <c r="F15" s="11" t="s">
        <v>463</v>
      </c>
      <c r="G15" s="11" t="s">
        <v>365</v>
      </c>
      <c r="H15" s="11" t="s">
        <v>464</v>
      </c>
      <c r="I15" s="11" t="s">
        <v>386</v>
      </c>
      <c r="J15" s="11" t="s">
        <v>439</v>
      </c>
      <c r="K15" s="11" t="s">
        <v>465</v>
      </c>
      <c r="L15" s="11" t="s">
        <v>466</v>
      </c>
      <c r="M15" s="11" t="s">
        <v>371</v>
      </c>
      <c r="N15" s="11" t="s">
        <v>371</v>
      </c>
      <c r="O15" s="12">
        <v>45900</v>
      </c>
      <c r="P15" s="11"/>
      <c r="Q15" s="11"/>
      <c r="R15" s="11"/>
      <c r="S15" s="11"/>
      <c r="T15" s="11"/>
      <c r="U15" s="11" t="s">
        <v>467</v>
      </c>
      <c r="V15" s="11"/>
      <c r="W15" s="11"/>
      <c r="X15" s="11"/>
      <c r="Y15" s="11"/>
      <c r="Z15" s="11" t="s">
        <v>468</v>
      </c>
      <c r="AA15" s="11"/>
      <c r="AB15" s="11"/>
      <c r="AC15" s="11"/>
      <c r="AD15" s="11"/>
      <c r="AE15" s="11" t="s">
        <v>378</v>
      </c>
      <c r="AF15" s="11"/>
      <c r="AG15" s="11" t="s">
        <v>469</v>
      </c>
    </row>
    <row r="16" spans="1:33" x14ac:dyDescent="0.25">
      <c r="A16" s="1">
        <v>12</v>
      </c>
      <c r="B16" s="10" t="s">
        <v>381</v>
      </c>
      <c r="C16" s="11" t="s">
        <v>470</v>
      </c>
      <c r="D16" s="11" t="s">
        <v>471</v>
      </c>
      <c r="E16" s="11">
        <v>986521827</v>
      </c>
      <c r="F16" s="11" t="s">
        <v>472</v>
      </c>
      <c r="G16" s="11" t="s">
        <v>365</v>
      </c>
      <c r="H16" s="11" t="s">
        <v>395</v>
      </c>
      <c r="I16" s="11" t="s">
        <v>386</v>
      </c>
      <c r="J16" s="11" t="s">
        <v>445</v>
      </c>
      <c r="K16" s="11" t="s">
        <v>369</v>
      </c>
      <c r="L16" s="11" t="s">
        <v>473</v>
      </c>
      <c r="M16" s="11" t="s">
        <v>371</v>
      </c>
      <c r="N16" s="11" t="s">
        <v>371</v>
      </c>
      <c r="O16" s="12">
        <v>46074</v>
      </c>
      <c r="P16" s="11"/>
      <c r="Q16" s="11"/>
      <c r="R16" s="11" t="s">
        <v>474</v>
      </c>
      <c r="S16" s="11" t="s">
        <v>475</v>
      </c>
      <c r="T16" s="11"/>
      <c r="U16" s="11" t="s">
        <v>433</v>
      </c>
      <c r="V16" s="11" t="s">
        <v>476</v>
      </c>
      <c r="W16" s="11" t="s">
        <v>477</v>
      </c>
      <c r="X16" s="11" t="s">
        <v>478</v>
      </c>
      <c r="Y16" s="11"/>
      <c r="Z16" s="11" t="s">
        <v>479</v>
      </c>
      <c r="AA16" s="11" t="s">
        <v>480</v>
      </c>
      <c r="AB16" s="11"/>
      <c r="AC16" s="11"/>
      <c r="AD16" s="11"/>
      <c r="AE16" s="11" t="s">
        <v>378</v>
      </c>
      <c r="AF16" s="11"/>
      <c r="AG16" s="11"/>
    </row>
    <row r="17" spans="1:33" x14ac:dyDescent="0.25">
      <c r="A17" s="1">
        <v>13</v>
      </c>
      <c r="B17" s="10" t="s">
        <v>361</v>
      </c>
      <c r="C17" s="11" t="s">
        <v>481</v>
      </c>
      <c r="D17" s="11" t="s">
        <v>482</v>
      </c>
      <c r="E17" s="11">
        <v>940500050</v>
      </c>
      <c r="F17" s="11" t="s">
        <v>483</v>
      </c>
      <c r="G17" s="11" t="s">
        <v>365</v>
      </c>
      <c r="H17" s="11" t="s">
        <v>385</v>
      </c>
      <c r="I17" s="11" t="s">
        <v>367</v>
      </c>
      <c r="J17" s="11" t="s">
        <v>387</v>
      </c>
      <c r="K17" s="11" t="s">
        <v>369</v>
      </c>
      <c r="L17" s="11" t="s">
        <v>455</v>
      </c>
      <c r="M17" s="11" t="s">
        <v>371</v>
      </c>
      <c r="N17" s="11" t="s">
        <v>371</v>
      </c>
      <c r="O17" s="12">
        <v>45943</v>
      </c>
      <c r="P17" s="11"/>
      <c r="Q17" s="11"/>
      <c r="R17" s="11" t="s">
        <v>484</v>
      </c>
      <c r="S17" s="11" t="s">
        <v>373</v>
      </c>
      <c r="T17" s="11"/>
      <c r="U17" s="11" t="s">
        <v>433</v>
      </c>
      <c r="V17" s="11" t="s">
        <v>485</v>
      </c>
      <c r="W17" s="11" t="s">
        <v>417</v>
      </c>
      <c r="X17" s="11"/>
      <c r="Y17" s="11"/>
      <c r="Z17" s="11" t="s">
        <v>480</v>
      </c>
      <c r="AA17" s="11"/>
      <c r="AB17" s="11"/>
      <c r="AC17" s="11"/>
      <c r="AD17" s="11"/>
      <c r="AE17" s="11" t="s">
        <v>378</v>
      </c>
      <c r="AF17" s="11"/>
      <c r="AG17" s="11" t="s">
        <v>486</v>
      </c>
    </row>
    <row r="18" spans="1:33" x14ac:dyDescent="0.25">
      <c r="A18" s="1">
        <v>14</v>
      </c>
      <c r="B18" s="10" t="s">
        <v>361</v>
      </c>
      <c r="C18" s="11" t="s">
        <v>487</v>
      </c>
      <c r="D18" s="11" t="s">
        <v>488</v>
      </c>
      <c r="E18" s="11">
        <v>958194965</v>
      </c>
      <c r="F18" s="11" t="s">
        <v>489</v>
      </c>
      <c r="G18" s="11" t="s">
        <v>365</v>
      </c>
      <c r="H18" s="11" t="s">
        <v>395</v>
      </c>
      <c r="I18" s="11" t="s">
        <v>386</v>
      </c>
      <c r="J18" s="11" t="s">
        <v>490</v>
      </c>
      <c r="K18" s="11" t="s">
        <v>491</v>
      </c>
      <c r="L18" s="11" t="s">
        <v>492</v>
      </c>
      <c r="M18" s="11" t="s">
        <v>371</v>
      </c>
      <c r="N18" s="11" t="s">
        <v>371</v>
      </c>
      <c r="O18" s="12">
        <v>45966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x14ac:dyDescent="0.25">
      <c r="A19" s="1">
        <v>15</v>
      </c>
      <c r="B19" s="10" t="s">
        <v>381</v>
      </c>
      <c r="C19" s="11" t="s">
        <v>493</v>
      </c>
      <c r="D19" s="11" t="s">
        <v>494</v>
      </c>
      <c r="E19" s="11">
        <v>951950078</v>
      </c>
      <c r="F19" s="11" t="s">
        <v>495</v>
      </c>
      <c r="G19" s="11" t="s">
        <v>365</v>
      </c>
      <c r="H19" s="11" t="s">
        <v>395</v>
      </c>
      <c r="I19" s="11" t="s">
        <v>367</v>
      </c>
      <c r="J19" s="11" t="s">
        <v>496</v>
      </c>
      <c r="K19" s="11" t="s">
        <v>497</v>
      </c>
      <c r="L19" s="11" t="s">
        <v>498</v>
      </c>
      <c r="M19" s="11" t="s">
        <v>371</v>
      </c>
      <c r="N19" s="11" t="s">
        <v>371</v>
      </c>
      <c r="O19" s="12">
        <v>46099</v>
      </c>
      <c r="P19" s="11"/>
      <c r="Q19" s="11"/>
      <c r="R19" s="11" t="s">
        <v>398</v>
      </c>
      <c r="S19" s="11" t="s">
        <v>373</v>
      </c>
      <c r="T19" s="11"/>
      <c r="U19" s="11" t="s">
        <v>433</v>
      </c>
      <c r="V19" s="11" t="s">
        <v>417</v>
      </c>
      <c r="W19" s="11" t="s">
        <v>476</v>
      </c>
      <c r="X19" s="11"/>
      <c r="Y19" s="11"/>
      <c r="Z19" s="11" t="s">
        <v>479</v>
      </c>
      <c r="AA19" s="11"/>
      <c r="AB19" s="11"/>
      <c r="AC19" s="11"/>
      <c r="AD19" s="11"/>
      <c r="AE19" s="11"/>
      <c r="AF19" s="11"/>
      <c r="AG19" s="11" t="s">
        <v>486</v>
      </c>
    </row>
    <row r="20" spans="1:33" x14ac:dyDescent="0.25">
      <c r="A20" s="1">
        <v>16</v>
      </c>
      <c r="B20" s="10" t="s">
        <v>361</v>
      </c>
      <c r="C20" s="11" t="s">
        <v>499</v>
      </c>
      <c r="D20" s="11" t="s">
        <v>500</v>
      </c>
      <c r="E20" s="11">
        <v>935237900</v>
      </c>
      <c r="F20" s="11" t="s">
        <v>501</v>
      </c>
      <c r="G20" s="11" t="s">
        <v>365</v>
      </c>
      <c r="H20" s="11" t="s">
        <v>395</v>
      </c>
      <c r="I20" s="11" t="s">
        <v>386</v>
      </c>
      <c r="J20" s="11" t="s">
        <v>403</v>
      </c>
      <c r="K20" s="11" t="s">
        <v>491</v>
      </c>
      <c r="L20" s="11" t="s">
        <v>502</v>
      </c>
      <c r="M20" s="11" t="s">
        <v>371</v>
      </c>
      <c r="N20" s="11" t="s">
        <v>371</v>
      </c>
      <c r="O20" s="12">
        <v>45796</v>
      </c>
      <c r="P20" s="11" t="s">
        <v>503</v>
      </c>
      <c r="Q20" s="11" t="s">
        <v>504</v>
      </c>
      <c r="R20" s="11" t="s">
        <v>505</v>
      </c>
      <c r="S20" s="11" t="s">
        <v>506</v>
      </c>
      <c r="T20" s="11"/>
      <c r="U20" s="11" t="s">
        <v>485</v>
      </c>
      <c r="V20" s="11" t="s">
        <v>433</v>
      </c>
      <c r="W20" s="11" t="s">
        <v>417</v>
      </c>
      <c r="X20" s="11" t="s">
        <v>507</v>
      </c>
      <c r="Y20" s="11"/>
      <c r="Z20" s="11"/>
      <c r="AA20" s="11"/>
      <c r="AB20" s="11"/>
      <c r="AC20" s="11"/>
      <c r="AD20" s="11"/>
      <c r="AE20" s="11"/>
      <c r="AF20" s="11"/>
      <c r="AG20" s="11" t="s">
        <v>508</v>
      </c>
    </row>
    <row r="21" spans="1:33" x14ac:dyDescent="0.25">
      <c r="A21" s="1">
        <v>17</v>
      </c>
      <c r="B21" s="10" t="s">
        <v>361</v>
      </c>
      <c r="C21" s="11" t="s">
        <v>509</v>
      </c>
      <c r="D21" s="11" t="s">
        <v>510</v>
      </c>
      <c r="E21" s="11">
        <v>940891498</v>
      </c>
      <c r="F21" s="11" t="s">
        <v>511</v>
      </c>
      <c r="G21" s="11" t="s">
        <v>512</v>
      </c>
      <c r="H21" s="11" t="s">
        <v>395</v>
      </c>
      <c r="I21" s="11" t="s">
        <v>367</v>
      </c>
      <c r="J21" s="11" t="s">
        <v>439</v>
      </c>
      <c r="K21" s="11" t="s">
        <v>513</v>
      </c>
      <c r="L21" s="11" t="s">
        <v>514</v>
      </c>
      <c r="M21" s="11" t="s">
        <v>371</v>
      </c>
      <c r="N21" s="11" t="s">
        <v>371</v>
      </c>
      <c r="O21" s="12">
        <v>45794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515</v>
      </c>
    </row>
    <row r="22" spans="1:33" x14ac:dyDescent="0.25">
      <c r="A22" s="1">
        <v>18</v>
      </c>
      <c r="B22" s="10" t="s">
        <v>361</v>
      </c>
      <c r="C22" s="11" t="s">
        <v>516</v>
      </c>
      <c r="D22" s="11" t="s">
        <v>517</v>
      </c>
      <c r="E22" s="11">
        <v>944302748</v>
      </c>
      <c r="F22" s="11" t="s">
        <v>518</v>
      </c>
      <c r="G22" s="11" t="s">
        <v>365</v>
      </c>
      <c r="H22" s="11" t="s">
        <v>395</v>
      </c>
      <c r="I22" s="11" t="s">
        <v>386</v>
      </c>
      <c r="J22" s="11" t="s">
        <v>368</v>
      </c>
      <c r="K22" s="11" t="s">
        <v>369</v>
      </c>
      <c r="L22" s="11" t="s">
        <v>519</v>
      </c>
      <c r="M22" s="11" t="s">
        <v>371</v>
      </c>
      <c r="N22" s="11" t="s">
        <v>371</v>
      </c>
      <c r="O22" s="12">
        <v>45849</v>
      </c>
      <c r="P22" s="11"/>
      <c r="Q22" s="11"/>
      <c r="R22" s="11" t="s">
        <v>520</v>
      </c>
      <c r="S22" s="11"/>
      <c r="T22" s="11"/>
      <c r="U22" s="11" t="s">
        <v>434</v>
      </c>
      <c r="V22" s="11" t="s">
        <v>521</v>
      </c>
      <c r="W22" s="11" t="s">
        <v>522</v>
      </c>
      <c r="X22" s="11"/>
      <c r="Y22" s="11"/>
      <c r="Z22" s="11" t="s">
        <v>407</v>
      </c>
      <c r="AA22" s="11"/>
      <c r="AB22" s="11"/>
      <c r="AC22" s="11"/>
      <c r="AD22" s="11"/>
      <c r="AE22" s="11"/>
      <c r="AF22" s="11"/>
      <c r="AG22" s="11" t="s">
        <v>523</v>
      </c>
    </row>
    <row r="23" spans="1:33" x14ac:dyDescent="0.25">
      <c r="A23" s="1">
        <v>19</v>
      </c>
      <c r="B23" s="10" t="s">
        <v>381</v>
      </c>
      <c r="C23" s="11" t="s">
        <v>524</v>
      </c>
      <c r="D23" s="11" t="s">
        <v>525</v>
      </c>
      <c r="E23" s="11">
        <v>945041878</v>
      </c>
      <c r="F23" s="11" t="s">
        <v>526</v>
      </c>
      <c r="G23" s="11" t="s">
        <v>412</v>
      </c>
      <c r="H23" s="11" t="s">
        <v>395</v>
      </c>
      <c r="I23" s="11" t="s">
        <v>386</v>
      </c>
      <c r="J23" s="11" t="s">
        <v>403</v>
      </c>
      <c r="K23" s="11" t="s">
        <v>491</v>
      </c>
      <c r="L23" s="11" t="s">
        <v>527</v>
      </c>
      <c r="M23" s="11" t="s">
        <v>371</v>
      </c>
      <c r="N23" s="11" t="s">
        <v>371</v>
      </c>
      <c r="O23" s="12">
        <v>46024</v>
      </c>
      <c r="P23" s="11"/>
      <c r="Q23" s="11"/>
      <c r="R23" s="11" t="s">
        <v>528</v>
      </c>
      <c r="S23" s="11" t="s">
        <v>529</v>
      </c>
      <c r="T23" s="11"/>
      <c r="U23" s="11" t="s">
        <v>530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 t="s">
        <v>531</v>
      </c>
    </row>
    <row r="24" spans="1:33" x14ac:dyDescent="0.25">
      <c r="A24" s="1">
        <v>20</v>
      </c>
      <c r="B24" s="10" t="s">
        <v>381</v>
      </c>
      <c r="C24" s="11" t="s">
        <v>532</v>
      </c>
      <c r="D24" s="11" t="s">
        <v>533</v>
      </c>
      <c r="E24" s="11">
        <v>935357429</v>
      </c>
      <c r="F24" s="11" t="s">
        <v>534</v>
      </c>
      <c r="G24" s="11" t="s">
        <v>365</v>
      </c>
      <c r="H24" s="11" t="s">
        <v>366</v>
      </c>
      <c r="I24" s="11" t="s">
        <v>386</v>
      </c>
      <c r="J24" s="11" t="s">
        <v>496</v>
      </c>
      <c r="K24" s="11" t="s">
        <v>535</v>
      </c>
      <c r="L24" s="11" t="s">
        <v>536</v>
      </c>
      <c r="M24" s="11" t="s">
        <v>371</v>
      </c>
      <c r="N24" s="11" t="s">
        <v>371</v>
      </c>
      <c r="O24" s="12">
        <v>46127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 t="s">
        <v>537</v>
      </c>
    </row>
    <row r="25" spans="1:33" x14ac:dyDescent="0.25">
      <c r="A25" s="1">
        <v>21</v>
      </c>
      <c r="B25" s="10" t="s">
        <v>381</v>
      </c>
      <c r="C25" s="11" t="s">
        <v>538</v>
      </c>
      <c r="D25" s="11" t="s">
        <v>539</v>
      </c>
      <c r="E25" s="11">
        <v>996828325</v>
      </c>
      <c r="F25" s="11" t="s">
        <v>540</v>
      </c>
      <c r="G25" s="11" t="s">
        <v>412</v>
      </c>
      <c r="H25" s="11" t="s">
        <v>541</v>
      </c>
      <c r="I25" s="11" t="s">
        <v>367</v>
      </c>
      <c r="J25" s="11" t="s">
        <v>542</v>
      </c>
      <c r="K25" s="11" t="s">
        <v>543</v>
      </c>
      <c r="L25" s="11" t="s">
        <v>544</v>
      </c>
      <c r="M25" s="11" t="s">
        <v>406</v>
      </c>
      <c r="N25" s="11" t="s">
        <v>406</v>
      </c>
      <c r="O25" s="12">
        <v>46037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 t="s">
        <v>545</v>
      </c>
    </row>
    <row r="26" spans="1:33" x14ac:dyDescent="0.25">
      <c r="A26" s="1">
        <v>22</v>
      </c>
      <c r="B26" s="10" t="s">
        <v>361</v>
      </c>
      <c r="C26" s="11" t="s">
        <v>546</v>
      </c>
      <c r="D26" s="11"/>
      <c r="E26" s="11">
        <v>979295114</v>
      </c>
      <c r="F26" s="11" t="s">
        <v>547</v>
      </c>
      <c r="G26" s="11" t="s">
        <v>365</v>
      </c>
      <c r="H26" s="11" t="s">
        <v>366</v>
      </c>
      <c r="I26" s="11" t="s">
        <v>386</v>
      </c>
      <c r="J26" s="11" t="s">
        <v>548</v>
      </c>
      <c r="K26" s="11" t="s">
        <v>535</v>
      </c>
      <c r="L26" s="11" t="s">
        <v>549</v>
      </c>
      <c r="M26" s="11" t="s">
        <v>371</v>
      </c>
      <c r="N26" s="11" t="s">
        <v>371</v>
      </c>
      <c r="O26" s="12">
        <v>45958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 t="s">
        <v>550</v>
      </c>
    </row>
    <row r="27" spans="1:33" x14ac:dyDescent="0.25">
      <c r="A27" s="1">
        <v>23</v>
      </c>
      <c r="B27" s="10" t="s">
        <v>381</v>
      </c>
      <c r="C27" s="11" t="s">
        <v>551</v>
      </c>
      <c r="D27" s="11" t="s">
        <v>552</v>
      </c>
      <c r="E27" s="11">
        <v>985586208</v>
      </c>
      <c r="F27" s="11" t="s">
        <v>553</v>
      </c>
      <c r="G27" s="11" t="s">
        <v>412</v>
      </c>
      <c r="H27" s="11" t="s">
        <v>395</v>
      </c>
      <c r="I27" s="11" t="s">
        <v>386</v>
      </c>
      <c r="J27" s="11" t="s">
        <v>554</v>
      </c>
      <c r="K27" s="11" t="s">
        <v>513</v>
      </c>
      <c r="L27" s="11" t="s">
        <v>555</v>
      </c>
      <c r="M27" s="11" t="s">
        <v>371</v>
      </c>
      <c r="N27" s="11" t="s">
        <v>371</v>
      </c>
      <c r="O27" s="12">
        <v>46031</v>
      </c>
      <c r="P27" s="11"/>
      <c r="Q27" s="11"/>
      <c r="R27" s="11" t="s">
        <v>389</v>
      </c>
      <c r="S27" s="11"/>
      <c r="T27" s="11"/>
      <c r="U27" s="11" t="s">
        <v>556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 t="s">
        <v>557</v>
      </c>
    </row>
    <row r="28" spans="1:33" x14ac:dyDescent="0.25">
      <c r="A28" s="1">
        <v>24</v>
      </c>
      <c r="B28" s="10" t="s">
        <v>361</v>
      </c>
      <c r="C28" s="11" t="s">
        <v>558</v>
      </c>
      <c r="D28" s="11" t="s">
        <v>559</v>
      </c>
      <c r="E28" s="11">
        <v>965167291</v>
      </c>
      <c r="F28" s="11" t="s">
        <v>560</v>
      </c>
      <c r="G28" s="11" t="s">
        <v>365</v>
      </c>
      <c r="H28" s="11" t="s">
        <v>561</v>
      </c>
      <c r="I28" s="11" t="s">
        <v>367</v>
      </c>
      <c r="J28" s="11" t="s">
        <v>542</v>
      </c>
      <c r="K28" s="11" t="s">
        <v>562</v>
      </c>
      <c r="L28" s="11" t="s">
        <v>502</v>
      </c>
      <c r="M28" s="11" t="s">
        <v>371</v>
      </c>
      <c r="N28" s="11" t="s">
        <v>406</v>
      </c>
      <c r="O28" s="12">
        <v>46084</v>
      </c>
      <c r="P28" s="11"/>
      <c r="Q28" s="11"/>
      <c r="R28" s="11" t="s">
        <v>474</v>
      </c>
      <c r="S28" s="11" t="s">
        <v>563</v>
      </c>
      <c r="T28" s="11"/>
      <c r="U28" s="11" t="s">
        <v>434</v>
      </c>
      <c r="V28" s="11" t="s">
        <v>564</v>
      </c>
      <c r="W28" s="11"/>
      <c r="X28" s="11"/>
      <c r="Y28" s="11"/>
      <c r="Z28" s="11" t="s">
        <v>565</v>
      </c>
      <c r="AA28" s="11"/>
      <c r="AB28" s="11"/>
      <c r="AC28" s="11"/>
      <c r="AD28" s="11"/>
      <c r="AE28" s="11" t="s">
        <v>378</v>
      </c>
      <c r="AF28" s="11"/>
      <c r="AG28" s="11"/>
    </row>
    <row r="29" spans="1:33" x14ac:dyDescent="0.25">
      <c r="A29" s="1">
        <v>25</v>
      </c>
      <c r="B29" s="10" t="s">
        <v>361</v>
      </c>
      <c r="C29" s="11" t="s">
        <v>566</v>
      </c>
      <c r="D29" s="11" t="s">
        <v>567</v>
      </c>
      <c r="E29" s="11">
        <v>972880022</v>
      </c>
      <c r="F29" s="11" t="s">
        <v>568</v>
      </c>
      <c r="G29" s="11" t="s">
        <v>412</v>
      </c>
      <c r="H29" s="11" t="s">
        <v>395</v>
      </c>
      <c r="I29" s="11" t="s">
        <v>386</v>
      </c>
      <c r="J29" s="11" t="s">
        <v>569</v>
      </c>
      <c r="K29" s="11" t="s">
        <v>430</v>
      </c>
      <c r="L29" s="11" t="s">
        <v>570</v>
      </c>
      <c r="M29" s="11" t="s">
        <v>571</v>
      </c>
      <c r="N29" s="11" t="s">
        <v>371</v>
      </c>
      <c r="O29" s="12">
        <v>46050</v>
      </c>
      <c r="P29" s="11" t="s">
        <v>572</v>
      </c>
      <c r="Q29" s="11" t="s">
        <v>573</v>
      </c>
      <c r="R29" s="11">
        <v>33</v>
      </c>
      <c r="S29" s="11" t="s">
        <v>529</v>
      </c>
      <c r="T29" s="11" t="s">
        <v>572</v>
      </c>
      <c r="U29" s="11" t="s">
        <v>417</v>
      </c>
      <c r="V29" s="11" t="s">
        <v>574</v>
      </c>
      <c r="W29" s="11" t="s">
        <v>575</v>
      </c>
      <c r="X29" s="11" t="s">
        <v>576</v>
      </c>
      <c r="Y29" s="11" t="s">
        <v>577</v>
      </c>
      <c r="Z29" s="11"/>
      <c r="AA29" s="11"/>
      <c r="AB29" s="11"/>
      <c r="AC29" s="11"/>
      <c r="AD29" s="11"/>
      <c r="AE29" s="11" t="s">
        <v>378</v>
      </c>
      <c r="AF29" s="11"/>
      <c r="AG29" s="11"/>
    </row>
    <row r="30" spans="1:33" x14ac:dyDescent="0.25">
      <c r="A30" s="1">
        <v>26</v>
      </c>
      <c r="B30" s="10" t="s">
        <v>381</v>
      </c>
      <c r="C30" s="11" t="s">
        <v>578</v>
      </c>
      <c r="D30" s="11" t="s">
        <v>579</v>
      </c>
      <c r="E30" s="11">
        <v>925507803</v>
      </c>
      <c r="F30" s="11" t="s">
        <v>580</v>
      </c>
      <c r="G30" s="11" t="s">
        <v>365</v>
      </c>
      <c r="H30" s="11" t="s">
        <v>581</v>
      </c>
      <c r="I30" s="11" t="s">
        <v>386</v>
      </c>
      <c r="J30" s="11" t="s">
        <v>582</v>
      </c>
      <c r="K30" s="11" t="s">
        <v>583</v>
      </c>
      <c r="L30" s="11" t="s">
        <v>584</v>
      </c>
      <c r="M30" s="11" t="s">
        <v>371</v>
      </c>
      <c r="N30" s="11" t="s">
        <v>371</v>
      </c>
      <c r="O30" s="12">
        <v>46087</v>
      </c>
      <c r="P30" s="11"/>
      <c r="Q30" s="11"/>
      <c r="R30" s="11" t="s">
        <v>505</v>
      </c>
      <c r="S30" s="11" t="s">
        <v>563</v>
      </c>
      <c r="T30" s="11"/>
      <c r="U30" s="11"/>
      <c r="V30" s="11"/>
      <c r="W30" s="11"/>
      <c r="X30" s="11"/>
      <c r="Y30" s="11"/>
      <c r="Z30" s="11" t="s">
        <v>585</v>
      </c>
      <c r="AA30" s="11"/>
      <c r="AB30" s="11"/>
      <c r="AC30" s="11"/>
      <c r="AD30" s="11"/>
      <c r="AE30" s="11"/>
      <c r="AF30" s="11"/>
      <c r="AG30" s="11" t="s">
        <v>586</v>
      </c>
    </row>
    <row r="31" spans="1:33" x14ac:dyDescent="0.25">
      <c r="A31" s="1">
        <v>27</v>
      </c>
      <c r="B31" s="10" t="s">
        <v>361</v>
      </c>
      <c r="C31" s="11" t="s">
        <v>587</v>
      </c>
      <c r="D31" s="11" t="s">
        <v>588</v>
      </c>
      <c r="E31" s="11">
        <v>944668382</v>
      </c>
      <c r="F31" s="11" t="s">
        <v>589</v>
      </c>
      <c r="G31" s="11" t="s">
        <v>365</v>
      </c>
      <c r="H31" s="11" t="s">
        <v>395</v>
      </c>
      <c r="I31" s="11" t="s">
        <v>386</v>
      </c>
      <c r="J31" s="11" t="s">
        <v>590</v>
      </c>
      <c r="K31" s="11" t="s">
        <v>369</v>
      </c>
      <c r="L31" s="11" t="s">
        <v>591</v>
      </c>
      <c r="M31" s="11" t="s">
        <v>371</v>
      </c>
      <c r="N31" s="11" t="s">
        <v>371</v>
      </c>
      <c r="O31" s="12">
        <v>46057</v>
      </c>
      <c r="P31" s="11"/>
      <c r="Q31" s="11"/>
      <c r="R31" s="11">
        <v>37</v>
      </c>
      <c r="S31" s="11" t="s">
        <v>373</v>
      </c>
      <c r="T31" s="11"/>
      <c r="U31" s="11" t="s">
        <v>592</v>
      </c>
      <c r="V31" s="11" t="s">
        <v>593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x14ac:dyDescent="0.25">
      <c r="A32" s="1">
        <v>28</v>
      </c>
      <c r="B32" s="10" t="s">
        <v>381</v>
      </c>
      <c r="C32" s="11" t="s">
        <v>594</v>
      </c>
      <c r="D32" s="11" t="s">
        <v>595</v>
      </c>
      <c r="E32" s="11">
        <v>917504934</v>
      </c>
      <c r="F32" s="11" t="s">
        <v>596</v>
      </c>
      <c r="G32" s="11" t="s">
        <v>365</v>
      </c>
      <c r="H32" s="11" t="s">
        <v>395</v>
      </c>
      <c r="I32" s="11" t="s">
        <v>367</v>
      </c>
      <c r="J32" s="11" t="s">
        <v>413</v>
      </c>
      <c r="K32" s="11" t="s">
        <v>597</v>
      </c>
      <c r="L32" s="11" t="s">
        <v>598</v>
      </c>
      <c r="M32" s="11" t="s">
        <v>371</v>
      </c>
      <c r="N32" s="11" t="s">
        <v>371</v>
      </c>
      <c r="O32" s="12">
        <v>45671</v>
      </c>
      <c r="P32" s="11">
        <v>89</v>
      </c>
      <c r="Q32" s="11" t="s">
        <v>599</v>
      </c>
      <c r="R32" s="11" t="s">
        <v>600</v>
      </c>
      <c r="S32" s="11" t="s">
        <v>373</v>
      </c>
      <c r="T32" s="11">
        <v>87</v>
      </c>
      <c r="U32" s="11" t="s">
        <v>417</v>
      </c>
      <c r="V32" s="11" t="s">
        <v>601</v>
      </c>
      <c r="W32" s="11" t="s">
        <v>485</v>
      </c>
      <c r="X32" s="11" t="s">
        <v>602</v>
      </c>
      <c r="Y32" s="11" t="s">
        <v>603</v>
      </c>
      <c r="Z32" s="11" t="s">
        <v>479</v>
      </c>
      <c r="AA32" s="11" t="s">
        <v>480</v>
      </c>
      <c r="AB32" s="11"/>
      <c r="AC32" s="11"/>
      <c r="AD32" s="11"/>
      <c r="AE32" s="11" t="s">
        <v>604</v>
      </c>
      <c r="AF32" s="11" t="s">
        <v>605</v>
      </c>
      <c r="AG32" s="11" t="s">
        <v>606</v>
      </c>
    </row>
    <row r="33" spans="1:33" x14ac:dyDescent="0.25">
      <c r="A33" s="1">
        <v>29</v>
      </c>
      <c r="B33" s="10" t="s">
        <v>361</v>
      </c>
      <c r="C33" s="11" t="s">
        <v>607</v>
      </c>
      <c r="D33" s="11" t="s">
        <v>608</v>
      </c>
      <c r="E33" s="11">
        <v>958759544</v>
      </c>
      <c r="F33" s="11" t="s">
        <v>609</v>
      </c>
      <c r="G33" s="11" t="s">
        <v>365</v>
      </c>
      <c r="H33" s="11" t="s">
        <v>464</v>
      </c>
      <c r="I33" s="11" t="s">
        <v>367</v>
      </c>
      <c r="J33" s="11" t="s">
        <v>582</v>
      </c>
      <c r="K33" s="11" t="s">
        <v>610</v>
      </c>
      <c r="L33" s="11" t="s">
        <v>611</v>
      </c>
      <c r="M33" s="11" t="s">
        <v>371</v>
      </c>
      <c r="N33" s="11" t="s">
        <v>371</v>
      </c>
      <c r="O33" s="12">
        <v>46066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x14ac:dyDescent="0.25">
      <c r="A34" s="1">
        <v>30</v>
      </c>
      <c r="B34" s="10" t="s">
        <v>361</v>
      </c>
      <c r="C34" s="11" t="s">
        <v>612</v>
      </c>
      <c r="D34" s="11" t="s">
        <v>613</v>
      </c>
      <c r="E34" s="11">
        <v>946836857</v>
      </c>
      <c r="F34" s="11" t="s">
        <v>614</v>
      </c>
      <c r="G34" s="11" t="s">
        <v>365</v>
      </c>
      <c r="H34" s="11" t="s">
        <v>395</v>
      </c>
      <c r="I34" s="11" t="s">
        <v>367</v>
      </c>
      <c r="J34" s="11" t="s">
        <v>439</v>
      </c>
      <c r="K34" s="11" t="s">
        <v>615</v>
      </c>
      <c r="L34" s="11" t="s">
        <v>616</v>
      </c>
      <c r="M34" s="11" t="s">
        <v>371</v>
      </c>
      <c r="N34" s="11" t="s">
        <v>371</v>
      </c>
      <c r="O34" s="12">
        <v>46082</v>
      </c>
      <c r="P34" s="11"/>
      <c r="Q34" s="11"/>
      <c r="R34" s="11"/>
      <c r="S34" s="11"/>
      <c r="T34" s="11"/>
      <c r="U34" s="11" t="s">
        <v>485</v>
      </c>
      <c r="V34" s="11" t="s">
        <v>433</v>
      </c>
      <c r="W34" s="11" t="s">
        <v>617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x14ac:dyDescent="0.25">
      <c r="A35" s="1">
        <v>31</v>
      </c>
      <c r="B35" s="10" t="s">
        <v>361</v>
      </c>
      <c r="C35" s="11" t="s">
        <v>618</v>
      </c>
      <c r="D35" s="11" t="s">
        <v>619</v>
      </c>
      <c r="E35" s="11">
        <v>954402999</v>
      </c>
      <c r="F35" s="11" t="s">
        <v>620</v>
      </c>
      <c r="G35" s="11" t="s">
        <v>365</v>
      </c>
      <c r="H35" s="11" t="s">
        <v>395</v>
      </c>
      <c r="I35" s="11" t="s">
        <v>386</v>
      </c>
      <c r="J35" s="11" t="s">
        <v>621</v>
      </c>
      <c r="K35" s="11" t="s">
        <v>622</v>
      </c>
      <c r="L35" s="11" t="s">
        <v>498</v>
      </c>
      <c r="M35" s="11" t="s">
        <v>371</v>
      </c>
      <c r="N35" s="11" t="s">
        <v>371</v>
      </c>
      <c r="O35" s="12">
        <v>46082</v>
      </c>
      <c r="P35" s="11">
        <v>268</v>
      </c>
      <c r="Q35" s="11">
        <v>68</v>
      </c>
      <c r="R35" s="11" t="s">
        <v>623</v>
      </c>
      <c r="S35" s="11" t="s">
        <v>373</v>
      </c>
      <c r="T35" s="11"/>
      <c r="U35" s="11" t="s">
        <v>624</v>
      </c>
      <c r="V35" s="11" t="s">
        <v>433</v>
      </c>
      <c r="W35" s="11" t="s">
        <v>625</v>
      </c>
      <c r="X35" s="11" t="s">
        <v>603</v>
      </c>
      <c r="Y35" s="11" t="s">
        <v>507</v>
      </c>
      <c r="Z35" s="11"/>
      <c r="AA35" s="11"/>
      <c r="AB35" s="11"/>
      <c r="AC35" s="11"/>
      <c r="AD35" s="11"/>
      <c r="AE35" s="11"/>
      <c r="AF35" s="11"/>
      <c r="AG35" s="11"/>
    </row>
    <row r="36" spans="1:33" x14ac:dyDescent="0.25">
      <c r="A36" s="1">
        <v>32</v>
      </c>
      <c r="B36" s="10" t="s">
        <v>361</v>
      </c>
      <c r="C36" s="11" t="s">
        <v>626</v>
      </c>
      <c r="D36" s="11" t="s">
        <v>627</v>
      </c>
      <c r="E36" s="11">
        <v>976671342</v>
      </c>
      <c r="F36" s="11" t="s">
        <v>628</v>
      </c>
      <c r="G36" s="11" t="s">
        <v>365</v>
      </c>
      <c r="H36" s="11" t="s">
        <v>629</v>
      </c>
      <c r="I36" s="11" t="s">
        <v>367</v>
      </c>
      <c r="J36" s="11" t="s">
        <v>429</v>
      </c>
      <c r="K36" s="11" t="s">
        <v>630</v>
      </c>
      <c r="L36" s="11" t="s">
        <v>466</v>
      </c>
      <c r="M36" s="11" t="s">
        <v>371</v>
      </c>
      <c r="N36" s="11" t="s">
        <v>406</v>
      </c>
      <c r="O36" s="12">
        <v>45752</v>
      </c>
      <c r="P36" s="11"/>
      <c r="Q36" s="11"/>
      <c r="R36" s="11"/>
      <c r="S36" s="11"/>
      <c r="T36" s="11"/>
      <c r="U36" s="11" t="s">
        <v>631</v>
      </c>
      <c r="V36" s="11" t="s">
        <v>632</v>
      </c>
      <c r="W36" s="11" t="s">
        <v>633</v>
      </c>
      <c r="X36" s="11"/>
      <c r="Y36" s="11"/>
      <c r="Z36" s="11" t="s">
        <v>634</v>
      </c>
      <c r="AA36" s="11" t="s">
        <v>635</v>
      </c>
      <c r="AB36" s="11" t="s">
        <v>636</v>
      </c>
      <c r="AC36" s="11"/>
      <c r="AD36" s="11"/>
      <c r="AE36" s="11" t="s">
        <v>637</v>
      </c>
      <c r="AF36" s="11" t="s">
        <v>378</v>
      </c>
      <c r="AG36" s="11" t="s">
        <v>638</v>
      </c>
    </row>
    <row r="37" spans="1:33" x14ac:dyDescent="0.25">
      <c r="A37" s="1">
        <v>33</v>
      </c>
      <c r="B37" s="10" t="s">
        <v>381</v>
      </c>
      <c r="C37" s="11" t="s">
        <v>639</v>
      </c>
      <c r="D37" s="11" t="s">
        <v>640</v>
      </c>
      <c r="E37" s="11">
        <v>974356504</v>
      </c>
      <c r="F37" s="11" t="s">
        <v>641</v>
      </c>
      <c r="G37" s="11" t="s">
        <v>365</v>
      </c>
      <c r="H37" s="11" t="s">
        <v>395</v>
      </c>
      <c r="I37" s="11" t="s">
        <v>386</v>
      </c>
      <c r="J37" s="11" t="s">
        <v>439</v>
      </c>
      <c r="K37" s="11" t="s">
        <v>491</v>
      </c>
      <c r="L37" s="11" t="s">
        <v>642</v>
      </c>
      <c r="M37" s="11" t="s">
        <v>371</v>
      </c>
      <c r="N37" s="11" t="s">
        <v>406</v>
      </c>
      <c r="O37" s="12">
        <v>46097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 t="s">
        <v>643</v>
      </c>
    </row>
    <row r="38" spans="1:33" x14ac:dyDescent="0.25">
      <c r="A38" s="1">
        <v>34</v>
      </c>
      <c r="B38" s="10" t="s">
        <v>361</v>
      </c>
      <c r="C38" s="11" t="s">
        <v>644</v>
      </c>
      <c r="D38" s="11" t="s">
        <v>645</v>
      </c>
      <c r="E38" s="11">
        <v>940891498</v>
      </c>
      <c r="F38" s="11" t="s">
        <v>646</v>
      </c>
      <c r="G38" s="11" t="s">
        <v>365</v>
      </c>
      <c r="H38" s="11" t="s">
        <v>647</v>
      </c>
      <c r="I38" s="11" t="s">
        <v>367</v>
      </c>
      <c r="J38" s="11" t="s">
        <v>429</v>
      </c>
      <c r="K38" s="11" t="s">
        <v>648</v>
      </c>
      <c r="L38" s="11" t="s">
        <v>544</v>
      </c>
      <c r="M38" s="11" t="s">
        <v>371</v>
      </c>
      <c r="N38" s="11" t="s">
        <v>406</v>
      </c>
      <c r="O38" s="12">
        <v>45709</v>
      </c>
      <c r="P38" s="11"/>
      <c r="Q38" s="11"/>
      <c r="R38" s="11" t="s">
        <v>484</v>
      </c>
      <c r="S38" s="11" t="s">
        <v>649</v>
      </c>
      <c r="T38" s="11"/>
      <c r="U38" s="11" t="s">
        <v>477</v>
      </c>
      <c r="V38" s="11" t="s">
        <v>650</v>
      </c>
      <c r="W38" s="11" t="s">
        <v>651</v>
      </c>
      <c r="X38" s="11"/>
      <c r="Y38" s="11"/>
      <c r="Z38" s="11" t="s">
        <v>652</v>
      </c>
      <c r="AA38" s="11" t="s">
        <v>653</v>
      </c>
      <c r="AB38" s="11" t="s">
        <v>654</v>
      </c>
      <c r="AC38" s="11"/>
      <c r="AD38" s="11"/>
      <c r="AE38" s="11" t="s">
        <v>378</v>
      </c>
      <c r="AF38" s="11" t="s">
        <v>655</v>
      </c>
      <c r="AG38" s="11" t="s">
        <v>656</v>
      </c>
    </row>
    <row r="39" spans="1:33" x14ac:dyDescent="0.25">
      <c r="A39" s="1">
        <v>35</v>
      </c>
      <c r="B39" s="10" t="s">
        <v>361</v>
      </c>
      <c r="C39" s="11" t="s">
        <v>657</v>
      </c>
      <c r="D39" s="11" t="s">
        <v>658</v>
      </c>
      <c r="E39" s="11">
        <v>962289566</v>
      </c>
      <c r="F39" s="11" t="s">
        <v>659</v>
      </c>
      <c r="G39" s="11" t="s">
        <v>412</v>
      </c>
      <c r="H39" s="11" t="s">
        <v>395</v>
      </c>
      <c r="I39" s="11" t="s">
        <v>386</v>
      </c>
      <c r="J39" s="11" t="s">
        <v>582</v>
      </c>
      <c r="K39" s="11" t="s">
        <v>660</v>
      </c>
      <c r="L39" s="11" t="s">
        <v>616</v>
      </c>
      <c r="M39" s="11" t="s">
        <v>371</v>
      </c>
      <c r="N39" s="11" t="s">
        <v>371</v>
      </c>
      <c r="O39" s="12">
        <v>46115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1:33" x14ac:dyDescent="0.25">
      <c r="A40" s="1">
        <v>36</v>
      </c>
      <c r="B40" s="10" t="s">
        <v>381</v>
      </c>
      <c r="C40" s="11" t="s">
        <v>661</v>
      </c>
      <c r="D40" s="11" t="s">
        <v>662</v>
      </c>
      <c r="E40" s="11">
        <v>957540907</v>
      </c>
      <c r="F40" s="11" t="s">
        <v>663</v>
      </c>
      <c r="G40" s="11" t="s">
        <v>365</v>
      </c>
      <c r="H40" s="11" t="s">
        <v>395</v>
      </c>
      <c r="I40" s="11" t="s">
        <v>386</v>
      </c>
      <c r="J40" s="11" t="s">
        <v>664</v>
      </c>
      <c r="K40" s="11" t="s">
        <v>665</v>
      </c>
      <c r="L40" s="11" t="s">
        <v>405</v>
      </c>
      <c r="M40" s="11" t="s">
        <v>371</v>
      </c>
      <c r="N40" s="11" t="s">
        <v>371</v>
      </c>
      <c r="O40" s="12">
        <v>46124</v>
      </c>
      <c r="P40" s="11" t="s">
        <v>666</v>
      </c>
      <c r="Q40" s="11" t="s">
        <v>667</v>
      </c>
      <c r="R40" s="11">
        <v>41</v>
      </c>
      <c r="S40" s="11" t="s">
        <v>506</v>
      </c>
      <c r="T40" s="11" t="s">
        <v>668</v>
      </c>
      <c r="U40" s="11" t="s">
        <v>669</v>
      </c>
      <c r="V40" s="11" t="s">
        <v>417</v>
      </c>
      <c r="W40" s="11" t="s">
        <v>670</v>
      </c>
      <c r="X40" s="11"/>
      <c r="Y40" s="11"/>
      <c r="Z40" s="11" t="s">
        <v>671</v>
      </c>
      <c r="AA40" s="11"/>
      <c r="AB40" s="11"/>
      <c r="AC40" s="11"/>
      <c r="AD40" s="11"/>
      <c r="AE40" s="11"/>
      <c r="AF40" s="11"/>
      <c r="AG40" s="11" t="s">
        <v>672</v>
      </c>
    </row>
    <row r="41" spans="1:33" x14ac:dyDescent="0.25">
      <c r="A41" s="1">
        <v>37</v>
      </c>
      <c r="B41" s="10" t="s">
        <v>381</v>
      </c>
      <c r="C41" s="11" t="s">
        <v>673</v>
      </c>
      <c r="D41" s="11" t="s">
        <v>410</v>
      </c>
      <c r="E41" s="11">
        <v>968558908</v>
      </c>
      <c r="F41" s="11" t="s">
        <v>674</v>
      </c>
      <c r="G41" s="11" t="s">
        <v>412</v>
      </c>
      <c r="H41" s="11" t="s">
        <v>675</v>
      </c>
      <c r="I41" s="11" t="s">
        <v>386</v>
      </c>
      <c r="J41" s="11" t="s">
        <v>676</v>
      </c>
      <c r="K41" s="11" t="s">
        <v>677</v>
      </c>
      <c r="L41" s="11" t="s">
        <v>678</v>
      </c>
      <c r="M41" s="11" t="s">
        <v>371</v>
      </c>
      <c r="N41" s="11" t="s">
        <v>371</v>
      </c>
      <c r="O41" s="12">
        <v>46031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 t="s">
        <v>679</v>
      </c>
    </row>
    <row r="42" spans="1:33" x14ac:dyDescent="0.25">
      <c r="A42" s="1">
        <v>38</v>
      </c>
      <c r="B42" s="10" t="s">
        <v>361</v>
      </c>
      <c r="C42" s="11" t="s">
        <v>680</v>
      </c>
      <c r="D42" s="11" t="s">
        <v>681</v>
      </c>
      <c r="E42" s="11">
        <v>956955801</v>
      </c>
      <c r="F42" s="11" t="s">
        <v>682</v>
      </c>
      <c r="G42" s="11" t="s">
        <v>412</v>
      </c>
      <c r="H42" s="11" t="s">
        <v>395</v>
      </c>
      <c r="I42" s="11" t="s">
        <v>386</v>
      </c>
      <c r="J42" s="11" t="s">
        <v>548</v>
      </c>
      <c r="K42" s="11" t="s">
        <v>430</v>
      </c>
      <c r="L42" s="11" t="s">
        <v>683</v>
      </c>
      <c r="M42" s="11" t="s">
        <v>371</v>
      </c>
      <c r="N42" s="11" t="s">
        <v>371</v>
      </c>
      <c r="O42" s="12">
        <v>46041</v>
      </c>
      <c r="P42" s="11"/>
      <c r="Q42" s="11"/>
      <c r="R42" s="11"/>
      <c r="S42" s="11"/>
      <c r="T42" s="11"/>
      <c r="U42" s="11" t="s">
        <v>476</v>
      </c>
      <c r="V42" s="11" t="s">
        <v>477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 x14ac:dyDescent="0.25">
      <c r="A43" s="1">
        <v>39</v>
      </c>
      <c r="B43" s="10" t="s">
        <v>361</v>
      </c>
      <c r="C43" s="11" t="s">
        <v>684</v>
      </c>
      <c r="D43" s="11" t="s">
        <v>685</v>
      </c>
      <c r="E43" s="11">
        <v>913021926</v>
      </c>
      <c r="F43" s="11" t="s">
        <v>686</v>
      </c>
      <c r="G43" s="11" t="s">
        <v>687</v>
      </c>
      <c r="H43" s="11" t="s">
        <v>688</v>
      </c>
      <c r="I43" s="11" t="s">
        <v>367</v>
      </c>
      <c r="J43" s="11"/>
      <c r="K43" s="11" t="s">
        <v>689</v>
      </c>
      <c r="L43" s="11" t="s">
        <v>690</v>
      </c>
      <c r="M43" s="11" t="s">
        <v>371</v>
      </c>
      <c r="N43" s="11" t="s">
        <v>371</v>
      </c>
      <c r="O43" s="12">
        <v>46136</v>
      </c>
      <c r="P43" s="11"/>
      <c r="Q43" s="11"/>
      <c r="R43" s="11"/>
      <c r="S43" s="11"/>
      <c r="T43" s="11"/>
      <c r="U43" s="11" t="s">
        <v>691</v>
      </c>
      <c r="V43" s="11" t="s">
        <v>692</v>
      </c>
      <c r="W43" s="11" t="s">
        <v>467</v>
      </c>
      <c r="X43" s="11"/>
      <c r="Y43" s="11"/>
      <c r="Z43" s="11" t="s">
        <v>691</v>
      </c>
      <c r="AA43" s="11"/>
      <c r="AB43" s="11"/>
      <c r="AC43" s="11"/>
      <c r="AD43" s="11"/>
      <c r="AE43" s="11"/>
      <c r="AF43" s="11"/>
      <c r="AG43" s="11" t="s">
        <v>693</v>
      </c>
    </row>
    <row r="44" spans="1:33" x14ac:dyDescent="0.25">
      <c r="A44" s="1">
        <v>40</v>
      </c>
      <c r="B44" s="10" t="s">
        <v>361</v>
      </c>
      <c r="C44" s="11" t="s">
        <v>694</v>
      </c>
      <c r="D44" s="11" t="s">
        <v>695</v>
      </c>
      <c r="E44" s="11">
        <v>945429798</v>
      </c>
      <c r="F44" s="11" t="s">
        <v>696</v>
      </c>
      <c r="G44" s="11" t="s">
        <v>412</v>
      </c>
      <c r="H44" s="11" t="s">
        <v>697</v>
      </c>
      <c r="I44" s="11" t="s">
        <v>386</v>
      </c>
      <c r="J44" s="11" t="s">
        <v>698</v>
      </c>
      <c r="K44" s="11" t="s">
        <v>699</v>
      </c>
      <c r="L44" s="11" t="s">
        <v>700</v>
      </c>
      <c r="M44" s="11" t="s">
        <v>406</v>
      </c>
      <c r="N44" s="11" t="s">
        <v>406</v>
      </c>
      <c r="O44" s="12">
        <v>46092</v>
      </c>
      <c r="P44" s="11"/>
      <c r="Q44" s="11"/>
      <c r="R44" s="11"/>
      <c r="S44" s="11"/>
      <c r="T44" s="11"/>
      <c r="U44" s="11" t="s">
        <v>417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 t="s">
        <v>672</v>
      </c>
    </row>
    <row r="45" spans="1:33" x14ac:dyDescent="0.25">
      <c r="A45" s="1">
        <v>41</v>
      </c>
      <c r="B45" s="10" t="s">
        <v>361</v>
      </c>
      <c r="C45" s="11" t="s">
        <v>701</v>
      </c>
      <c r="D45" s="11" t="s">
        <v>702</v>
      </c>
      <c r="E45" s="11">
        <v>957721619</v>
      </c>
      <c r="F45" s="11" t="s">
        <v>703</v>
      </c>
      <c r="G45" s="11" t="s">
        <v>412</v>
      </c>
      <c r="H45" s="11" t="s">
        <v>395</v>
      </c>
      <c r="I45" s="11" t="s">
        <v>386</v>
      </c>
      <c r="J45" s="11" t="s">
        <v>582</v>
      </c>
      <c r="K45" s="11" t="s">
        <v>369</v>
      </c>
      <c r="L45" s="11" t="s">
        <v>704</v>
      </c>
      <c r="M45" s="11" t="s">
        <v>406</v>
      </c>
      <c r="N45" s="11" t="s">
        <v>406</v>
      </c>
      <c r="O45" s="12">
        <v>46072</v>
      </c>
      <c r="P45" s="11" t="s">
        <v>705</v>
      </c>
      <c r="Q45" s="11" t="s">
        <v>504</v>
      </c>
      <c r="R45" s="11" t="s">
        <v>706</v>
      </c>
      <c r="S45" s="11" t="s">
        <v>707</v>
      </c>
      <c r="T45" s="11" t="s">
        <v>708</v>
      </c>
      <c r="U45" s="11" t="s">
        <v>692</v>
      </c>
      <c r="V45" s="11" t="s">
        <v>476</v>
      </c>
      <c r="W45" s="11" t="s">
        <v>709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 t="s">
        <v>710</v>
      </c>
    </row>
    <row r="46" spans="1:33" x14ac:dyDescent="0.25">
      <c r="A46" s="1">
        <v>42</v>
      </c>
      <c r="B46" s="10" t="s">
        <v>361</v>
      </c>
      <c r="C46" s="11" t="s">
        <v>711</v>
      </c>
      <c r="D46" s="11" t="s">
        <v>712</v>
      </c>
      <c r="E46" s="11">
        <v>950020809</v>
      </c>
      <c r="F46" s="11" t="s">
        <v>713</v>
      </c>
      <c r="G46" s="11" t="s">
        <v>365</v>
      </c>
      <c r="H46" s="11" t="s">
        <v>395</v>
      </c>
      <c r="I46" s="11" t="s">
        <v>386</v>
      </c>
      <c r="J46" s="11" t="s">
        <v>664</v>
      </c>
      <c r="K46" s="11" t="s">
        <v>714</v>
      </c>
      <c r="L46" s="11" t="s">
        <v>715</v>
      </c>
      <c r="M46" s="11" t="s">
        <v>371</v>
      </c>
      <c r="N46" s="11" t="s">
        <v>371</v>
      </c>
      <c r="O46" s="12">
        <v>46027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 x14ac:dyDescent="0.25">
      <c r="A47" s="1">
        <v>43</v>
      </c>
      <c r="B47" s="10" t="s">
        <v>381</v>
      </c>
      <c r="C47" s="11" t="s">
        <v>716</v>
      </c>
      <c r="D47" s="11" t="s">
        <v>717</v>
      </c>
      <c r="E47" s="11">
        <v>968708043</v>
      </c>
      <c r="F47" s="11" t="s">
        <v>718</v>
      </c>
      <c r="G47" s="11" t="s">
        <v>365</v>
      </c>
      <c r="H47" s="11" t="s">
        <v>719</v>
      </c>
      <c r="I47" s="11" t="s">
        <v>386</v>
      </c>
      <c r="J47" s="11" t="s">
        <v>664</v>
      </c>
      <c r="K47" s="11" t="s">
        <v>535</v>
      </c>
      <c r="L47" s="11" t="s">
        <v>720</v>
      </c>
      <c r="M47" s="11" t="s">
        <v>371</v>
      </c>
      <c r="N47" s="11" t="s">
        <v>406</v>
      </c>
      <c r="O47" s="12">
        <v>46004</v>
      </c>
      <c r="P47" s="11"/>
      <c r="Q47" s="11"/>
      <c r="R47" s="11"/>
      <c r="S47" s="11"/>
      <c r="T47" s="11"/>
      <c r="U47" s="11" t="s">
        <v>522</v>
      </c>
      <c r="V47" s="11"/>
      <c r="W47" s="11"/>
      <c r="X47" s="11"/>
      <c r="Y47" s="11"/>
      <c r="Z47" s="11"/>
      <c r="AA47" s="11"/>
      <c r="AB47" s="11"/>
      <c r="AC47" s="11"/>
      <c r="AD47" s="11"/>
      <c r="AE47" s="11" t="s">
        <v>655</v>
      </c>
      <c r="AF47" s="11"/>
      <c r="AG47" s="11"/>
    </row>
    <row r="48" spans="1:33" x14ac:dyDescent="0.25">
      <c r="A48" s="1">
        <v>44</v>
      </c>
      <c r="B48" s="10" t="s">
        <v>381</v>
      </c>
      <c r="C48" s="11" t="s">
        <v>721</v>
      </c>
      <c r="D48" s="11" t="s">
        <v>722</v>
      </c>
      <c r="E48" s="11">
        <v>935457599</v>
      </c>
      <c r="F48" s="11" t="s">
        <v>723</v>
      </c>
      <c r="G48" s="11" t="s">
        <v>412</v>
      </c>
      <c r="H48" s="11" t="s">
        <v>395</v>
      </c>
      <c r="I48" s="11" t="s">
        <v>386</v>
      </c>
      <c r="J48" s="11" t="s">
        <v>724</v>
      </c>
      <c r="K48" s="11" t="s">
        <v>513</v>
      </c>
      <c r="L48" s="11" t="s">
        <v>725</v>
      </c>
      <c r="M48" s="11" t="s">
        <v>371</v>
      </c>
      <c r="N48" s="11" t="s">
        <v>371</v>
      </c>
      <c r="O48" s="12">
        <v>45987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 t="s">
        <v>378</v>
      </c>
      <c r="AF48" s="11"/>
      <c r="AG48" s="11"/>
    </row>
    <row r="49" spans="1:33" x14ac:dyDescent="0.25">
      <c r="A49" s="1">
        <v>45</v>
      </c>
      <c r="B49" s="10" t="s">
        <v>361</v>
      </c>
      <c r="C49" s="11" t="s">
        <v>726</v>
      </c>
      <c r="D49" s="11" t="s">
        <v>727</v>
      </c>
      <c r="E49" s="11">
        <v>900550748</v>
      </c>
      <c r="F49" s="11" t="s">
        <v>728</v>
      </c>
      <c r="G49" s="11" t="s">
        <v>365</v>
      </c>
      <c r="H49" s="11" t="s">
        <v>395</v>
      </c>
      <c r="I49" s="11" t="s">
        <v>367</v>
      </c>
      <c r="J49" s="11" t="s">
        <v>429</v>
      </c>
      <c r="K49" s="11" t="s">
        <v>615</v>
      </c>
      <c r="L49" s="11" t="s">
        <v>729</v>
      </c>
      <c r="M49" s="11" t="s">
        <v>406</v>
      </c>
      <c r="N49" s="11" t="s">
        <v>406</v>
      </c>
      <c r="O49" s="12">
        <v>45934</v>
      </c>
      <c r="P49" s="11"/>
      <c r="Q49" s="11"/>
      <c r="R49" s="11"/>
      <c r="S49" s="11"/>
      <c r="T49" s="11"/>
      <c r="U49" s="11" t="s">
        <v>730</v>
      </c>
      <c r="V49" s="11"/>
      <c r="W49" s="11"/>
      <c r="X49" s="11"/>
      <c r="Y49" s="11"/>
      <c r="Z49" s="11"/>
      <c r="AA49" s="11"/>
      <c r="AB49" s="11"/>
      <c r="AC49" s="11"/>
      <c r="AD49" s="11"/>
      <c r="AE49" s="11" t="s">
        <v>655</v>
      </c>
      <c r="AF49" s="11" t="s">
        <v>378</v>
      </c>
      <c r="AG49" s="11"/>
    </row>
    <row r="50" spans="1:33" x14ac:dyDescent="0.25">
      <c r="A50" s="1">
        <v>46</v>
      </c>
      <c r="B50" s="10" t="s">
        <v>381</v>
      </c>
      <c r="C50" s="11" t="s">
        <v>731</v>
      </c>
      <c r="D50" s="11" t="s">
        <v>732</v>
      </c>
      <c r="E50" s="11">
        <v>952171917</v>
      </c>
      <c r="F50" s="11" t="s">
        <v>733</v>
      </c>
      <c r="G50" s="11" t="s">
        <v>365</v>
      </c>
      <c r="H50" s="11" t="s">
        <v>395</v>
      </c>
      <c r="I50" s="11" t="s">
        <v>386</v>
      </c>
      <c r="J50" s="11" t="s">
        <v>368</v>
      </c>
      <c r="K50" s="11" t="s">
        <v>734</v>
      </c>
      <c r="L50" s="11" t="s">
        <v>735</v>
      </c>
      <c r="M50" s="11" t="s">
        <v>371</v>
      </c>
      <c r="N50" s="11" t="s">
        <v>371</v>
      </c>
      <c r="O50" s="12">
        <v>45917</v>
      </c>
      <c r="P50" s="11" t="s">
        <v>736</v>
      </c>
      <c r="Q50" s="11" t="s">
        <v>737</v>
      </c>
      <c r="R50" s="11" t="s">
        <v>738</v>
      </c>
      <c r="S50" s="11" t="s">
        <v>475</v>
      </c>
      <c r="T50" s="11"/>
      <c r="U50" s="11" t="s">
        <v>739</v>
      </c>
      <c r="V50" s="11" t="s">
        <v>603</v>
      </c>
      <c r="W50" s="11" t="s">
        <v>625</v>
      </c>
      <c r="X50" s="11" t="s">
        <v>740</v>
      </c>
      <c r="Y50" s="11"/>
      <c r="Z50" s="11"/>
      <c r="AA50" s="11"/>
      <c r="AB50" s="11"/>
      <c r="AC50" s="11"/>
      <c r="AD50" s="11"/>
      <c r="AE50" s="11"/>
      <c r="AF50" s="11"/>
      <c r="AG50" s="11" t="s">
        <v>741</v>
      </c>
    </row>
    <row r="51" spans="1:33" x14ac:dyDescent="0.25">
      <c r="A51" s="1">
        <v>47</v>
      </c>
      <c r="B51" s="10" t="s">
        <v>381</v>
      </c>
      <c r="C51" s="11" t="s">
        <v>742</v>
      </c>
      <c r="D51" s="11" t="s">
        <v>410</v>
      </c>
      <c r="E51" s="11">
        <v>991230710</v>
      </c>
      <c r="F51" s="11" t="s">
        <v>743</v>
      </c>
      <c r="G51" s="11" t="s">
        <v>365</v>
      </c>
      <c r="H51" s="11" t="s">
        <v>744</v>
      </c>
      <c r="I51" s="11" t="s">
        <v>386</v>
      </c>
      <c r="J51" s="11" t="s">
        <v>439</v>
      </c>
      <c r="K51" s="11" t="s">
        <v>745</v>
      </c>
      <c r="L51" s="11" t="s">
        <v>746</v>
      </c>
      <c r="M51" s="11" t="s">
        <v>371</v>
      </c>
      <c r="N51" s="11" t="s">
        <v>371</v>
      </c>
      <c r="O51" s="12">
        <v>45878</v>
      </c>
      <c r="P51" s="11"/>
      <c r="Q51" s="11"/>
      <c r="R51" s="11" t="s">
        <v>389</v>
      </c>
      <c r="S51" s="11" t="s">
        <v>747</v>
      </c>
      <c r="T51" s="11"/>
      <c r="U51" s="11"/>
      <c r="V51" s="11"/>
      <c r="W51" s="11"/>
      <c r="X51" s="11"/>
      <c r="Y51" s="11"/>
      <c r="Z51" s="11" t="s">
        <v>407</v>
      </c>
      <c r="AA51" s="11" t="s">
        <v>480</v>
      </c>
      <c r="AB51" s="11"/>
      <c r="AC51" s="11"/>
      <c r="AD51" s="11"/>
      <c r="AE51" s="11" t="s">
        <v>748</v>
      </c>
      <c r="AF51" s="11"/>
      <c r="AG51" s="11" t="s">
        <v>749</v>
      </c>
    </row>
    <row r="52" spans="1:33" x14ac:dyDescent="0.25">
      <c r="A52" s="1">
        <v>48</v>
      </c>
      <c r="B52" s="10" t="s">
        <v>361</v>
      </c>
      <c r="C52" s="11" t="s">
        <v>750</v>
      </c>
      <c r="D52" s="11" t="s">
        <v>751</v>
      </c>
      <c r="E52" s="11">
        <v>931381738</v>
      </c>
      <c r="F52" s="11" t="s">
        <v>752</v>
      </c>
      <c r="G52" s="11" t="s">
        <v>412</v>
      </c>
      <c r="H52" s="11" t="s">
        <v>395</v>
      </c>
      <c r="I52" s="11" t="s">
        <v>386</v>
      </c>
      <c r="J52" s="11" t="s">
        <v>368</v>
      </c>
      <c r="K52" s="11" t="s">
        <v>430</v>
      </c>
      <c r="L52" s="11" t="s">
        <v>753</v>
      </c>
      <c r="M52" s="11" t="s">
        <v>371</v>
      </c>
      <c r="N52" s="11" t="s">
        <v>371</v>
      </c>
      <c r="O52" s="12">
        <v>45866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x14ac:dyDescent="0.25">
      <c r="A53" s="1">
        <v>49</v>
      </c>
      <c r="B53" s="10" t="s">
        <v>381</v>
      </c>
      <c r="C53" s="11" t="s">
        <v>754</v>
      </c>
      <c r="D53" s="11" t="s">
        <v>755</v>
      </c>
      <c r="E53" s="11">
        <v>931441054</v>
      </c>
      <c r="F53" s="11" t="s">
        <v>756</v>
      </c>
      <c r="G53" s="11" t="s">
        <v>412</v>
      </c>
      <c r="H53" s="11" t="s">
        <v>395</v>
      </c>
      <c r="I53" s="11" t="s">
        <v>367</v>
      </c>
      <c r="J53" s="11" t="s">
        <v>757</v>
      </c>
      <c r="K53" s="11" t="s">
        <v>699</v>
      </c>
      <c r="L53" s="11" t="s">
        <v>758</v>
      </c>
      <c r="M53" s="11" t="s">
        <v>371</v>
      </c>
      <c r="N53" s="11" t="s">
        <v>371</v>
      </c>
      <c r="O53" s="12">
        <v>45820</v>
      </c>
      <c r="P53" s="11"/>
      <c r="Q53" s="11"/>
      <c r="R53" s="11" t="s">
        <v>415</v>
      </c>
      <c r="S53" s="11" t="s">
        <v>707</v>
      </c>
      <c r="T53" s="11"/>
      <c r="U53" s="11" t="s">
        <v>477</v>
      </c>
      <c r="V53" s="11" t="s">
        <v>759</v>
      </c>
      <c r="W53" s="11" t="s">
        <v>760</v>
      </c>
      <c r="X53" s="11"/>
      <c r="Y53" s="11"/>
      <c r="Z53" s="11" t="s">
        <v>761</v>
      </c>
      <c r="AA53" s="11"/>
      <c r="AB53" s="11"/>
      <c r="AC53" s="11"/>
      <c r="AD53" s="11"/>
      <c r="AE53" s="11"/>
      <c r="AF53" s="11"/>
      <c r="AG53" s="11" t="s">
        <v>762</v>
      </c>
    </row>
    <row r="54" spans="1:33" x14ac:dyDescent="0.25">
      <c r="A54" s="1">
        <v>50</v>
      </c>
      <c r="B54" s="10" t="s">
        <v>381</v>
      </c>
      <c r="C54" s="11" t="s">
        <v>763</v>
      </c>
      <c r="D54" s="11" t="s">
        <v>764</v>
      </c>
      <c r="E54" s="11">
        <v>995622957</v>
      </c>
      <c r="F54" s="11" t="s">
        <v>765</v>
      </c>
      <c r="G54" s="11" t="s">
        <v>365</v>
      </c>
      <c r="H54" s="11" t="s">
        <v>395</v>
      </c>
      <c r="I54" s="11" t="s">
        <v>386</v>
      </c>
      <c r="J54" s="11" t="s">
        <v>582</v>
      </c>
      <c r="K54" s="11" t="s">
        <v>665</v>
      </c>
      <c r="L54" s="11" t="s">
        <v>766</v>
      </c>
      <c r="M54" s="11" t="s">
        <v>371</v>
      </c>
      <c r="N54" s="11" t="s">
        <v>406</v>
      </c>
      <c r="O54" s="12">
        <v>46102</v>
      </c>
      <c r="P54" s="11"/>
      <c r="Q54" s="11"/>
      <c r="R54" s="11" t="s">
        <v>484</v>
      </c>
      <c r="S54" s="11" t="s">
        <v>563</v>
      </c>
      <c r="T54" s="11"/>
      <c r="U54" s="11" t="s">
        <v>477</v>
      </c>
      <c r="V54" s="11" t="s">
        <v>767</v>
      </c>
      <c r="W54" s="11" t="s">
        <v>768</v>
      </c>
      <c r="X54" s="11" t="s">
        <v>769</v>
      </c>
      <c r="Y54" s="11"/>
      <c r="Z54" s="11" t="s">
        <v>770</v>
      </c>
      <c r="AA54" s="11" t="s">
        <v>771</v>
      </c>
      <c r="AB54" s="11"/>
      <c r="AC54" s="11"/>
      <c r="AD54" s="11"/>
      <c r="AE54" s="11"/>
      <c r="AF54" s="11"/>
      <c r="AG54" s="11" t="s">
        <v>772</v>
      </c>
    </row>
    <row r="55" spans="1:33" x14ac:dyDescent="0.25">
      <c r="A55" s="1">
        <v>51</v>
      </c>
      <c r="B55" s="10" t="s">
        <v>361</v>
      </c>
      <c r="C55" s="11" t="s">
        <v>773</v>
      </c>
      <c r="D55" s="11" t="s">
        <v>774</v>
      </c>
      <c r="E55" s="11">
        <v>921536390</v>
      </c>
      <c r="F55" s="11" t="s">
        <v>775</v>
      </c>
      <c r="G55" s="11" t="s">
        <v>365</v>
      </c>
      <c r="H55" s="11" t="s">
        <v>647</v>
      </c>
      <c r="I55" s="11" t="s">
        <v>367</v>
      </c>
      <c r="J55" s="11" t="s">
        <v>403</v>
      </c>
      <c r="K55" s="11" t="s">
        <v>776</v>
      </c>
      <c r="L55" s="11" t="s">
        <v>777</v>
      </c>
      <c r="M55" s="11" t="s">
        <v>371</v>
      </c>
      <c r="N55" s="11" t="s">
        <v>371</v>
      </c>
      <c r="O55" s="12">
        <v>46039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x14ac:dyDescent="0.25">
      <c r="A56" s="1">
        <v>52</v>
      </c>
      <c r="B56" s="10" t="s">
        <v>361</v>
      </c>
      <c r="C56" s="11" t="s">
        <v>778</v>
      </c>
      <c r="D56" s="11" t="s">
        <v>779</v>
      </c>
      <c r="E56" s="11">
        <v>966374632</v>
      </c>
      <c r="F56" s="11" t="s">
        <v>780</v>
      </c>
      <c r="G56" s="11" t="s">
        <v>365</v>
      </c>
      <c r="H56" s="11" t="s">
        <v>366</v>
      </c>
      <c r="I56" s="11" t="s">
        <v>367</v>
      </c>
      <c r="J56" s="11" t="s">
        <v>582</v>
      </c>
      <c r="K56" s="11" t="s">
        <v>491</v>
      </c>
      <c r="L56" s="11" t="s">
        <v>781</v>
      </c>
      <c r="M56" s="11" t="s">
        <v>371</v>
      </c>
      <c r="N56" s="11" t="s">
        <v>406</v>
      </c>
      <c r="O56" s="12">
        <v>46039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 t="s">
        <v>782</v>
      </c>
    </row>
    <row r="57" spans="1:33" x14ac:dyDescent="0.25">
      <c r="A57" s="1">
        <v>53</v>
      </c>
      <c r="B57" s="10" t="s">
        <v>381</v>
      </c>
      <c r="C57" s="11" t="s">
        <v>783</v>
      </c>
      <c r="D57" s="11" t="s">
        <v>784</v>
      </c>
      <c r="E57" s="11">
        <v>986868088</v>
      </c>
      <c r="F57" s="11" t="s">
        <v>785</v>
      </c>
      <c r="G57" s="11" t="s">
        <v>365</v>
      </c>
      <c r="H57" s="11" t="s">
        <v>395</v>
      </c>
      <c r="I57" s="11" t="s">
        <v>367</v>
      </c>
      <c r="J57" s="11" t="s">
        <v>424</v>
      </c>
      <c r="K57" s="11" t="s">
        <v>786</v>
      </c>
      <c r="L57" s="11" t="s">
        <v>787</v>
      </c>
      <c r="M57" s="11" t="s">
        <v>371</v>
      </c>
      <c r="N57" s="11" t="s">
        <v>371</v>
      </c>
      <c r="O57" s="12">
        <v>46039</v>
      </c>
      <c r="P57" s="12"/>
      <c r="Q57" s="11"/>
      <c r="R57" s="11"/>
      <c r="S57" s="11"/>
      <c r="T57" s="11"/>
      <c r="U57" s="11" t="s">
        <v>788</v>
      </c>
      <c r="V57" s="11" t="s">
        <v>789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 t="s">
        <v>790</v>
      </c>
    </row>
    <row r="58" spans="1:33" x14ac:dyDescent="0.25">
      <c r="A58" s="1">
        <v>54</v>
      </c>
      <c r="B58" s="10" t="s">
        <v>361</v>
      </c>
      <c r="C58" s="11" t="s">
        <v>791</v>
      </c>
      <c r="D58" s="11" t="s">
        <v>792</v>
      </c>
      <c r="E58" s="11">
        <v>945733030</v>
      </c>
      <c r="F58" s="11" t="s">
        <v>793</v>
      </c>
      <c r="G58" s="11" t="s">
        <v>365</v>
      </c>
      <c r="H58" s="11" t="s">
        <v>561</v>
      </c>
      <c r="I58" s="11" t="s">
        <v>367</v>
      </c>
      <c r="J58" s="11" t="s">
        <v>403</v>
      </c>
      <c r="K58" s="11" t="s">
        <v>491</v>
      </c>
      <c r="L58" s="11" t="s">
        <v>794</v>
      </c>
      <c r="M58" s="11" t="s">
        <v>371</v>
      </c>
      <c r="N58" s="11" t="s">
        <v>406</v>
      </c>
      <c r="O58" s="12">
        <v>46031</v>
      </c>
      <c r="P58" s="11"/>
      <c r="Q58" s="11"/>
      <c r="R58" s="11" t="s">
        <v>600</v>
      </c>
      <c r="S58" s="11" t="s">
        <v>475</v>
      </c>
      <c r="T58" s="11"/>
      <c r="U58" s="11" t="s">
        <v>433</v>
      </c>
      <c r="V58" s="11" t="s">
        <v>476</v>
      </c>
      <c r="W58" s="11" t="s">
        <v>417</v>
      </c>
      <c r="X58" s="11"/>
      <c r="Y58" s="11"/>
      <c r="Z58" s="11" t="s">
        <v>795</v>
      </c>
      <c r="AA58" s="11"/>
      <c r="AB58" s="11"/>
      <c r="AC58" s="11"/>
      <c r="AD58" s="11"/>
      <c r="AE58" s="11"/>
      <c r="AF58" s="11"/>
      <c r="AG58" s="11" t="s">
        <v>408</v>
      </c>
    </row>
    <row r="59" spans="1:33" x14ac:dyDescent="0.25">
      <c r="A59" s="1">
        <v>55</v>
      </c>
      <c r="B59" s="10" t="s">
        <v>361</v>
      </c>
      <c r="C59" s="11" t="s">
        <v>796</v>
      </c>
      <c r="D59" s="11" t="s">
        <v>797</v>
      </c>
      <c r="E59" s="11">
        <v>983911290</v>
      </c>
      <c r="F59" s="11" t="s">
        <v>798</v>
      </c>
      <c r="G59" s="11" t="s">
        <v>365</v>
      </c>
      <c r="H59" s="11" t="s">
        <v>395</v>
      </c>
      <c r="I59" s="11" t="s">
        <v>367</v>
      </c>
      <c r="J59" s="11" t="s">
        <v>582</v>
      </c>
      <c r="K59" s="11" t="s">
        <v>513</v>
      </c>
      <c r="L59" s="11" t="s">
        <v>799</v>
      </c>
      <c r="M59" s="11" t="s">
        <v>406</v>
      </c>
      <c r="N59" s="11" t="s">
        <v>406</v>
      </c>
      <c r="O59" s="12">
        <v>46040</v>
      </c>
      <c r="P59" s="11">
        <v>152</v>
      </c>
      <c r="Q59" s="11">
        <v>40</v>
      </c>
      <c r="R59" s="11" t="s">
        <v>800</v>
      </c>
      <c r="S59" s="11" t="s">
        <v>747</v>
      </c>
      <c r="T59" s="11">
        <v>150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 t="s">
        <v>801</v>
      </c>
      <c r="AF59" s="11"/>
      <c r="AG59" s="11"/>
    </row>
    <row r="60" spans="1:33" x14ac:dyDescent="0.25">
      <c r="A60" s="1">
        <v>56</v>
      </c>
      <c r="B60" s="10" t="s">
        <v>381</v>
      </c>
      <c r="C60" s="11" t="s">
        <v>802</v>
      </c>
      <c r="D60" s="11" t="s">
        <v>803</v>
      </c>
      <c r="E60" s="11">
        <v>916061642</v>
      </c>
      <c r="F60" s="11" t="s">
        <v>804</v>
      </c>
      <c r="G60" s="11" t="s">
        <v>365</v>
      </c>
      <c r="H60" s="11" t="s">
        <v>629</v>
      </c>
      <c r="I60" s="11" t="s">
        <v>367</v>
      </c>
      <c r="J60" s="11" t="s">
        <v>676</v>
      </c>
      <c r="K60" s="11" t="s">
        <v>630</v>
      </c>
      <c r="L60" s="11" t="s">
        <v>805</v>
      </c>
      <c r="M60" s="11" t="s">
        <v>371</v>
      </c>
      <c r="N60" s="11" t="s">
        <v>371</v>
      </c>
      <c r="O60" s="12">
        <v>45868</v>
      </c>
      <c r="P60" s="11"/>
      <c r="Q60" s="11"/>
      <c r="R60" s="11"/>
      <c r="S60" s="11"/>
      <c r="T60" s="11"/>
      <c r="U60" s="11" t="s">
        <v>806</v>
      </c>
      <c r="V60" s="11"/>
      <c r="W60" s="11"/>
      <c r="X60" s="11"/>
      <c r="Y60" s="11"/>
      <c r="Z60" s="11" t="s">
        <v>807</v>
      </c>
      <c r="AA60" s="11"/>
      <c r="AB60" s="11"/>
      <c r="AC60" s="11"/>
      <c r="AD60" s="11"/>
      <c r="AE60" s="11" t="s">
        <v>808</v>
      </c>
      <c r="AF60" s="11"/>
      <c r="AG60" s="11" t="s">
        <v>809</v>
      </c>
    </row>
    <row r="61" spans="1:33" x14ac:dyDescent="0.25">
      <c r="A61" s="1">
        <v>57</v>
      </c>
      <c r="B61" s="10" t="s">
        <v>381</v>
      </c>
      <c r="C61" s="11" t="s">
        <v>810</v>
      </c>
      <c r="D61" s="11" t="s">
        <v>811</v>
      </c>
      <c r="E61" s="11">
        <v>986642187</v>
      </c>
      <c r="F61" s="11" t="s">
        <v>812</v>
      </c>
      <c r="G61" s="11" t="s">
        <v>412</v>
      </c>
      <c r="H61" s="11" t="s">
        <v>395</v>
      </c>
      <c r="I61" s="11" t="s">
        <v>386</v>
      </c>
      <c r="J61" s="11" t="s">
        <v>429</v>
      </c>
      <c r="K61" s="11" t="s">
        <v>369</v>
      </c>
      <c r="L61" s="11" t="s">
        <v>813</v>
      </c>
      <c r="M61" s="11" t="s">
        <v>371</v>
      </c>
      <c r="N61" s="11" t="s">
        <v>371</v>
      </c>
      <c r="O61" s="12">
        <v>46010</v>
      </c>
      <c r="P61" s="11">
        <v>88</v>
      </c>
      <c r="Q61" s="11">
        <v>36</v>
      </c>
      <c r="R61" s="11" t="s">
        <v>738</v>
      </c>
      <c r="S61" s="11"/>
      <c r="T61" s="11">
        <v>92</v>
      </c>
      <c r="U61" s="11" t="s">
        <v>814</v>
      </c>
      <c r="V61" s="11" t="s">
        <v>815</v>
      </c>
      <c r="W61" s="11" t="s">
        <v>816</v>
      </c>
      <c r="X61" s="11" t="s">
        <v>817</v>
      </c>
      <c r="Y61" s="11"/>
      <c r="Z61" s="11"/>
      <c r="AA61" s="11"/>
      <c r="AB61" s="11"/>
      <c r="AC61" s="11"/>
      <c r="AD61" s="11"/>
      <c r="AE61" s="11" t="s">
        <v>378</v>
      </c>
      <c r="AF61" s="11"/>
      <c r="AG61" s="11"/>
    </row>
    <row r="62" spans="1:33" x14ac:dyDescent="0.25">
      <c r="A62" s="1">
        <v>58</v>
      </c>
      <c r="B62" s="10" t="s">
        <v>361</v>
      </c>
      <c r="C62" s="11" t="s">
        <v>818</v>
      </c>
      <c r="D62" s="11" t="s">
        <v>819</v>
      </c>
      <c r="E62" s="11">
        <v>900222566</v>
      </c>
      <c r="F62" s="11" t="s">
        <v>820</v>
      </c>
      <c r="G62" s="11" t="s">
        <v>365</v>
      </c>
      <c r="H62" s="11" t="s">
        <v>581</v>
      </c>
      <c r="I62" s="11" t="s">
        <v>367</v>
      </c>
      <c r="J62" s="11" t="s">
        <v>413</v>
      </c>
      <c r="K62" s="11" t="s">
        <v>454</v>
      </c>
      <c r="L62" s="11"/>
      <c r="M62" s="11" t="s">
        <v>371</v>
      </c>
      <c r="N62" s="11" t="s">
        <v>406</v>
      </c>
      <c r="O62" s="12">
        <v>46010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 t="s">
        <v>197</v>
      </c>
    </row>
    <row r="63" spans="1:33" x14ac:dyDescent="0.25">
      <c r="A63" s="1">
        <v>59</v>
      </c>
      <c r="B63" s="10" t="s">
        <v>381</v>
      </c>
      <c r="C63" s="11" t="s">
        <v>821</v>
      </c>
      <c r="D63" s="11" t="s">
        <v>822</v>
      </c>
      <c r="E63" s="11">
        <v>989800882</v>
      </c>
      <c r="F63" s="11" t="s">
        <v>812</v>
      </c>
      <c r="G63" s="11" t="s">
        <v>365</v>
      </c>
      <c r="H63" s="11" t="s">
        <v>581</v>
      </c>
      <c r="I63" s="11" t="s">
        <v>386</v>
      </c>
      <c r="J63" s="11" t="s">
        <v>445</v>
      </c>
      <c r="K63" s="11" t="s">
        <v>615</v>
      </c>
      <c r="L63" s="11" t="s">
        <v>642</v>
      </c>
      <c r="M63" s="11" t="s">
        <v>371</v>
      </c>
      <c r="N63" s="11" t="s">
        <v>371</v>
      </c>
      <c r="O63" s="12">
        <v>45853</v>
      </c>
      <c r="P63" s="11">
        <v>147</v>
      </c>
      <c r="Q63" s="11">
        <v>33</v>
      </c>
      <c r="R63" s="11" t="s">
        <v>823</v>
      </c>
      <c r="S63" s="11" t="s">
        <v>707</v>
      </c>
      <c r="T63" s="11">
        <v>152</v>
      </c>
      <c r="U63" s="11" t="s">
        <v>485</v>
      </c>
      <c r="V63" s="11" t="s">
        <v>824</v>
      </c>
      <c r="W63" s="11" t="s">
        <v>433</v>
      </c>
      <c r="X63" s="11" t="s">
        <v>825</v>
      </c>
      <c r="Y63" s="11"/>
      <c r="Z63" s="11" t="s">
        <v>480</v>
      </c>
      <c r="AA63" s="11" t="s">
        <v>826</v>
      </c>
      <c r="AB63" s="11" t="s">
        <v>827</v>
      </c>
      <c r="AC63" s="11"/>
      <c r="AD63" s="11"/>
      <c r="AE63" s="11" t="s">
        <v>378</v>
      </c>
      <c r="AF63" s="11"/>
      <c r="AG63" s="11" t="s">
        <v>828</v>
      </c>
    </row>
    <row r="64" spans="1:33" x14ac:dyDescent="0.25">
      <c r="A64" s="1">
        <v>60</v>
      </c>
      <c r="B64" s="10" t="s">
        <v>361</v>
      </c>
      <c r="C64" s="11" t="s">
        <v>829</v>
      </c>
      <c r="D64" s="11" t="s">
        <v>830</v>
      </c>
      <c r="E64" s="11">
        <v>951510051</v>
      </c>
      <c r="F64" s="11" t="s">
        <v>831</v>
      </c>
      <c r="G64" s="11" t="s">
        <v>365</v>
      </c>
      <c r="H64" s="11" t="s">
        <v>561</v>
      </c>
      <c r="I64" s="11" t="s">
        <v>367</v>
      </c>
      <c r="J64" s="11" t="s">
        <v>445</v>
      </c>
      <c r="K64" s="11" t="s">
        <v>832</v>
      </c>
      <c r="L64" s="11"/>
      <c r="M64" s="11" t="s">
        <v>371</v>
      </c>
      <c r="N64" s="11" t="s">
        <v>371</v>
      </c>
      <c r="O64" s="12">
        <v>46042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 x14ac:dyDescent="0.25">
      <c r="A65" s="1">
        <v>61</v>
      </c>
      <c r="B65" s="10" t="s">
        <v>381</v>
      </c>
      <c r="C65" s="11" t="s">
        <v>833</v>
      </c>
      <c r="D65" s="11" t="s">
        <v>834</v>
      </c>
      <c r="E65" s="11">
        <v>994380722</v>
      </c>
      <c r="F65" s="11" t="s">
        <v>835</v>
      </c>
      <c r="G65" s="11" t="s">
        <v>412</v>
      </c>
      <c r="H65" s="11" t="s">
        <v>541</v>
      </c>
      <c r="I65" s="11" t="s">
        <v>386</v>
      </c>
      <c r="J65" s="11" t="s">
        <v>368</v>
      </c>
      <c r="K65" s="11" t="s">
        <v>836</v>
      </c>
      <c r="L65" s="11" t="s">
        <v>466</v>
      </c>
      <c r="M65" s="11" t="s">
        <v>371</v>
      </c>
      <c r="N65" s="11" t="s">
        <v>406</v>
      </c>
      <c r="O65" s="12">
        <v>46127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 t="s">
        <v>197</v>
      </c>
    </row>
    <row r="66" spans="1:33" x14ac:dyDescent="0.25">
      <c r="A66" s="1">
        <v>62</v>
      </c>
      <c r="B66" s="10" t="s">
        <v>361</v>
      </c>
      <c r="C66" s="11" t="s">
        <v>837</v>
      </c>
      <c r="D66" s="11" t="s">
        <v>838</v>
      </c>
      <c r="E66" s="11">
        <v>992288376</v>
      </c>
      <c r="F66" s="11" t="s">
        <v>839</v>
      </c>
      <c r="G66" s="11" t="s">
        <v>365</v>
      </c>
      <c r="H66" s="11" t="s">
        <v>366</v>
      </c>
      <c r="I66" s="11" t="s">
        <v>386</v>
      </c>
      <c r="J66" s="11" t="s">
        <v>554</v>
      </c>
      <c r="K66" s="11" t="s">
        <v>840</v>
      </c>
      <c r="L66" s="11" t="s">
        <v>388</v>
      </c>
      <c r="M66" s="11" t="s">
        <v>371</v>
      </c>
      <c r="N66" s="11" t="s">
        <v>371</v>
      </c>
      <c r="O66" s="12">
        <v>45741</v>
      </c>
      <c r="P66" s="11"/>
      <c r="Q66" s="11"/>
      <c r="R66" s="11" t="s">
        <v>398</v>
      </c>
      <c r="S66" s="11" t="s">
        <v>707</v>
      </c>
      <c r="T66" s="11"/>
      <c r="U66" s="11" t="s">
        <v>433</v>
      </c>
      <c r="V66" s="11" t="s">
        <v>485</v>
      </c>
      <c r="W66" s="11" t="s">
        <v>601</v>
      </c>
      <c r="X66" s="11" t="s">
        <v>477</v>
      </c>
      <c r="Y66" s="11"/>
      <c r="Z66" s="11"/>
      <c r="AA66" s="11"/>
      <c r="AB66" s="11"/>
      <c r="AC66" s="11"/>
      <c r="AD66" s="11"/>
      <c r="AE66" s="11"/>
      <c r="AF66" s="11"/>
      <c r="AG66" s="11" t="s">
        <v>841</v>
      </c>
    </row>
    <row r="67" spans="1:33" x14ac:dyDescent="0.25">
      <c r="A67" s="1">
        <v>63</v>
      </c>
      <c r="B67" s="10" t="s">
        <v>361</v>
      </c>
      <c r="C67" s="11" t="s">
        <v>842</v>
      </c>
      <c r="D67" s="11" t="s">
        <v>843</v>
      </c>
      <c r="E67" s="11">
        <v>925633586</v>
      </c>
      <c r="F67" s="11" t="s">
        <v>844</v>
      </c>
      <c r="G67" s="11" t="s">
        <v>365</v>
      </c>
      <c r="H67" s="11" t="s">
        <v>845</v>
      </c>
      <c r="I67" s="11" t="s">
        <v>367</v>
      </c>
      <c r="J67" s="11" t="s">
        <v>403</v>
      </c>
      <c r="K67" s="11" t="s">
        <v>491</v>
      </c>
      <c r="L67" s="11" t="s">
        <v>846</v>
      </c>
      <c r="M67" s="11" t="s">
        <v>406</v>
      </c>
      <c r="N67" s="11" t="s">
        <v>371</v>
      </c>
      <c r="O67" s="12">
        <v>46109</v>
      </c>
      <c r="P67" s="11"/>
      <c r="Q67" s="11"/>
      <c r="R67" s="11"/>
      <c r="S67" s="11"/>
      <c r="T67" s="11"/>
      <c r="U67" s="11" t="s">
        <v>847</v>
      </c>
      <c r="V67" s="11"/>
      <c r="W67" s="11"/>
      <c r="X67" s="11"/>
      <c r="Y67" s="11"/>
      <c r="Z67" s="11" t="s">
        <v>848</v>
      </c>
      <c r="AA67" s="11"/>
      <c r="AB67" s="11"/>
      <c r="AC67" s="11"/>
      <c r="AD67" s="11"/>
      <c r="AE67" s="11"/>
      <c r="AF67" s="11"/>
      <c r="AG67" s="11" t="s">
        <v>849</v>
      </c>
    </row>
    <row r="68" spans="1:33" x14ac:dyDescent="0.25">
      <c r="A68" s="1">
        <v>64</v>
      </c>
      <c r="B68" s="10" t="s">
        <v>381</v>
      </c>
      <c r="C68" s="11" t="s">
        <v>850</v>
      </c>
      <c r="D68" s="11" t="s">
        <v>851</v>
      </c>
      <c r="E68" s="11">
        <v>994645033</v>
      </c>
      <c r="F68" s="11" t="s">
        <v>852</v>
      </c>
      <c r="G68" s="11" t="s">
        <v>412</v>
      </c>
      <c r="H68" s="11" t="s">
        <v>395</v>
      </c>
      <c r="I68" s="11" t="s">
        <v>386</v>
      </c>
      <c r="J68" s="11" t="s">
        <v>424</v>
      </c>
      <c r="K68" s="11" t="s">
        <v>430</v>
      </c>
      <c r="L68" s="11"/>
      <c r="M68" s="11" t="s">
        <v>406</v>
      </c>
      <c r="N68" s="11" t="s">
        <v>371</v>
      </c>
      <c r="O68" s="12">
        <v>46078</v>
      </c>
      <c r="P68" s="11"/>
      <c r="Q68" s="11"/>
      <c r="R68" s="11" t="s">
        <v>528</v>
      </c>
      <c r="S68" s="11"/>
      <c r="T68" s="11"/>
      <c r="U68" s="11" t="s">
        <v>417</v>
      </c>
      <c r="V68" s="11" t="s">
        <v>467</v>
      </c>
      <c r="W68" s="11" t="s">
        <v>853</v>
      </c>
      <c r="X68" s="11" t="s">
        <v>854</v>
      </c>
      <c r="Y68" s="11"/>
      <c r="Z68" s="11" t="s">
        <v>855</v>
      </c>
      <c r="AA68" s="11" t="s">
        <v>856</v>
      </c>
      <c r="AB68" s="11"/>
      <c r="AC68" s="11"/>
      <c r="AD68" s="11"/>
      <c r="AE68" s="11"/>
      <c r="AF68" s="11"/>
      <c r="AG68" s="11" t="s">
        <v>857</v>
      </c>
    </row>
    <row r="69" spans="1:33" x14ac:dyDescent="0.25">
      <c r="A69" s="1">
        <v>65</v>
      </c>
      <c r="B69" s="10" t="s">
        <v>361</v>
      </c>
      <c r="C69" s="11" t="s">
        <v>858</v>
      </c>
      <c r="D69" s="11" t="s">
        <v>859</v>
      </c>
      <c r="E69" s="11">
        <v>974710291</v>
      </c>
      <c r="F69" s="11" t="s">
        <v>860</v>
      </c>
      <c r="G69" s="11" t="s">
        <v>412</v>
      </c>
      <c r="H69" s="11" t="s">
        <v>395</v>
      </c>
      <c r="I69" s="11" t="s">
        <v>386</v>
      </c>
      <c r="J69" s="11" t="s">
        <v>861</v>
      </c>
      <c r="K69" s="11" t="s">
        <v>491</v>
      </c>
      <c r="L69" s="11" t="s">
        <v>536</v>
      </c>
      <c r="M69" s="11" t="s">
        <v>371</v>
      </c>
      <c r="N69" s="11" t="s">
        <v>371</v>
      </c>
      <c r="O69" s="12">
        <v>46105</v>
      </c>
      <c r="P69" s="11"/>
      <c r="Q69" s="11"/>
      <c r="R69" s="11"/>
      <c r="S69" s="11"/>
      <c r="T69" s="11"/>
      <c r="U69" s="11" t="s">
        <v>788</v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 x14ac:dyDescent="0.25">
      <c r="A70" s="1">
        <v>66</v>
      </c>
      <c r="B70" s="10" t="s">
        <v>361</v>
      </c>
      <c r="C70" s="11" t="s">
        <v>862</v>
      </c>
      <c r="D70" s="11" t="s">
        <v>863</v>
      </c>
      <c r="E70" s="11">
        <v>955959266</v>
      </c>
      <c r="F70" s="11" t="s">
        <v>844</v>
      </c>
      <c r="G70" s="11" t="s">
        <v>365</v>
      </c>
      <c r="H70" s="11" t="s">
        <v>395</v>
      </c>
      <c r="I70" s="11" t="s">
        <v>367</v>
      </c>
      <c r="J70" s="11" t="s">
        <v>864</v>
      </c>
      <c r="K70" s="11" t="s">
        <v>497</v>
      </c>
      <c r="L70" s="11" t="s">
        <v>865</v>
      </c>
      <c r="M70" s="11" t="s">
        <v>371</v>
      </c>
      <c r="N70" s="11" t="s">
        <v>406</v>
      </c>
      <c r="O70" s="12">
        <v>46006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x14ac:dyDescent="0.25">
      <c r="A71" s="1">
        <v>67</v>
      </c>
      <c r="B71" s="10" t="s">
        <v>361</v>
      </c>
      <c r="C71" s="11" t="s">
        <v>866</v>
      </c>
      <c r="D71" s="11" t="s">
        <v>867</v>
      </c>
      <c r="E71" s="11">
        <v>994409005</v>
      </c>
      <c r="F71" s="11" t="s">
        <v>868</v>
      </c>
      <c r="G71" s="11" t="s">
        <v>365</v>
      </c>
      <c r="H71" s="11" t="s">
        <v>869</v>
      </c>
      <c r="I71" s="11" t="s">
        <v>367</v>
      </c>
      <c r="J71" s="11" t="s">
        <v>445</v>
      </c>
      <c r="K71" s="11" t="s">
        <v>870</v>
      </c>
      <c r="L71" s="11" t="s">
        <v>584</v>
      </c>
      <c r="M71" s="11" t="s">
        <v>371</v>
      </c>
      <c r="N71" s="11" t="s">
        <v>406</v>
      </c>
      <c r="O71" s="12">
        <v>45674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 t="s">
        <v>72</v>
      </c>
    </row>
    <row r="72" spans="1:33" x14ac:dyDescent="0.25">
      <c r="A72" s="1">
        <v>68</v>
      </c>
      <c r="B72" s="10" t="s">
        <v>381</v>
      </c>
      <c r="C72" s="11" t="s">
        <v>871</v>
      </c>
      <c r="D72" s="11" t="s">
        <v>872</v>
      </c>
      <c r="E72" s="11">
        <v>991941803</v>
      </c>
      <c r="F72" s="11" t="s">
        <v>873</v>
      </c>
      <c r="G72" s="11" t="s">
        <v>365</v>
      </c>
      <c r="H72" s="11" t="s">
        <v>395</v>
      </c>
      <c r="I72" s="11" t="s">
        <v>386</v>
      </c>
      <c r="J72" s="11" t="s">
        <v>424</v>
      </c>
      <c r="K72" s="11" t="s">
        <v>491</v>
      </c>
      <c r="L72" s="11" t="s">
        <v>874</v>
      </c>
      <c r="M72" s="11" t="s">
        <v>371</v>
      </c>
      <c r="N72" s="11" t="s">
        <v>406</v>
      </c>
      <c r="O72" s="12">
        <v>46039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x14ac:dyDescent="0.25">
      <c r="A73" s="1">
        <v>69</v>
      </c>
      <c r="B73" s="10" t="s">
        <v>381</v>
      </c>
      <c r="C73" s="11" t="s">
        <v>875</v>
      </c>
      <c r="D73" s="11" t="s">
        <v>876</v>
      </c>
      <c r="E73" s="11">
        <v>933416518</v>
      </c>
      <c r="F73" s="11" t="s">
        <v>877</v>
      </c>
      <c r="G73" s="11" t="s">
        <v>412</v>
      </c>
      <c r="H73" s="11" t="s">
        <v>395</v>
      </c>
      <c r="I73" s="11" t="s">
        <v>386</v>
      </c>
      <c r="J73" s="11" t="s">
        <v>582</v>
      </c>
      <c r="K73" s="11" t="s">
        <v>369</v>
      </c>
      <c r="L73" s="11" t="s">
        <v>878</v>
      </c>
      <c r="M73" s="11" t="s">
        <v>406</v>
      </c>
      <c r="N73" s="11" t="s">
        <v>406</v>
      </c>
      <c r="O73" s="12">
        <v>45666</v>
      </c>
      <c r="P73" s="11"/>
      <c r="Q73" s="11"/>
      <c r="R73" s="11"/>
      <c r="S73" s="11"/>
      <c r="T73" s="11"/>
      <c r="U73" s="11" t="s">
        <v>416</v>
      </c>
      <c r="V73" s="11"/>
      <c r="W73" s="11"/>
      <c r="X73" s="11"/>
      <c r="Y73" s="11"/>
      <c r="Z73" s="11" t="s">
        <v>879</v>
      </c>
      <c r="AA73" s="11"/>
      <c r="AB73" s="11"/>
      <c r="AC73" s="11"/>
      <c r="AD73" s="11"/>
      <c r="AE73" s="11"/>
      <c r="AF73" s="11"/>
      <c r="AG73" s="11" t="s">
        <v>880</v>
      </c>
    </row>
    <row r="74" spans="1:33" x14ac:dyDescent="0.25">
      <c r="A74" s="1">
        <v>70</v>
      </c>
      <c r="B74" s="10" t="s">
        <v>361</v>
      </c>
      <c r="C74" s="11" t="s">
        <v>881</v>
      </c>
      <c r="D74" s="11" t="s">
        <v>882</v>
      </c>
      <c r="E74" s="11">
        <v>969527121</v>
      </c>
      <c r="F74" s="11" t="s">
        <v>883</v>
      </c>
      <c r="G74" s="11" t="s">
        <v>412</v>
      </c>
      <c r="H74" s="11" t="s">
        <v>395</v>
      </c>
      <c r="I74" s="11" t="s">
        <v>386</v>
      </c>
      <c r="J74" s="11" t="s">
        <v>864</v>
      </c>
      <c r="K74" s="11" t="s">
        <v>884</v>
      </c>
      <c r="L74" s="11" t="s">
        <v>885</v>
      </c>
      <c r="M74" s="11" t="s">
        <v>371</v>
      </c>
      <c r="N74" s="11" t="s">
        <v>371</v>
      </c>
      <c r="O74" s="12">
        <v>46095</v>
      </c>
      <c r="P74" s="11"/>
      <c r="Q74" s="11"/>
      <c r="R74" s="11"/>
      <c r="S74" s="11"/>
      <c r="T74" s="11"/>
      <c r="U74" s="11" t="s">
        <v>853</v>
      </c>
      <c r="V74" s="11" t="s">
        <v>886</v>
      </c>
      <c r="W74" s="11" t="s">
        <v>887</v>
      </c>
      <c r="X74" s="11"/>
      <c r="Y74" s="11"/>
      <c r="Z74" s="11" t="s">
        <v>416</v>
      </c>
      <c r="AA74" s="11"/>
      <c r="AB74" s="11"/>
      <c r="AC74" s="11"/>
      <c r="AD74" s="11"/>
      <c r="AE74" s="11" t="s">
        <v>888</v>
      </c>
      <c r="AF74" s="11"/>
      <c r="AG74" s="11" t="s">
        <v>889</v>
      </c>
    </row>
    <row r="75" spans="1:33" x14ac:dyDescent="0.25">
      <c r="A75" s="1">
        <v>71</v>
      </c>
      <c r="B75" s="10" t="s">
        <v>361</v>
      </c>
      <c r="C75" s="11" t="s">
        <v>890</v>
      </c>
      <c r="D75" s="11" t="s">
        <v>891</v>
      </c>
      <c r="E75" s="11">
        <v>910347461</v>
      </c>
      <c r="F75" s="11" t="s">
        <v>892</v>
      </c>
      <c r="G75" s="11" t="s">
        <v>365</v>
      </c>
      <c r="H75" s="11" t="s">
        <v>395</v>
      </c>
      <c r="I75" s="11" t="s">
        <v>386</v>
      </c>
      <c r="J75" s="11" t="s">
        <v>403</v>
      </c>
      <c r="K75" s="11" t="s">
        <v>776</v>
      </c>
      <c r="L75" s="11"/>
      <c r="M75" s="11" t="s">
        <v>371</v>
      </c>
      <c r="N75" s="11" t="s">
        <v>371</v>
      </c>
      <c r="O75" s="12">
        <v>46095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 x14ac:dyDescent="0.25">
      <c r="A76" s="1">
        <v>72</v>
      </c>
      <c r="B76" s="10" t="s">
        <v>381</v>
      </c>
      <c r="C76" s="11" t="s">
        <v>893</v>
      </c>
      <c r="D76" s="11" t="s">
        <v>894</v>
      </c>
      <c r="E76" s="11">
        <v>930623027</v>
      </c>
      <c r="F76" s="11" t="s">
        <v>877</v>
      </c>
      <c r="G76" s="11" t="s">
        <v>365</v>
      </c>
      <c r="H76" s="11" t="s">
        <v>395</v>
      </c>
      <c r="I76" s="11" t="s">
        <v>386</v>
      </c>
      <c r="J76" s="11" t="s">
        <v>582</v>
      </c>
      <c r="K76" s="11" t="s">
        <v>895</v>
      </c>
      <c r="L76" s="11"/>
      <c r="M76" s="11" t="s">
        <v>406</v>
      </c>
      <c r="N76" s="11" t="s">
        <v>406</v>
      </c>
      <c r="O76" s="12">
        <v>45799</v>
      </c>
      <c r="P76" s="11">
        <v>196</v>
      </c>
      <c r="Q76" s="11">
        <v>64</v>
      </c>
      <c r="R76" s="11" t="s">
        <v>896</v>
      </c>
      <c r="S76" s="11" t="s">
        <v>747</v>
      </c>
      <c r="T76" s="11">
        <v>189</v>
      </c>
      <c r="U76" s="11" t="s">
        <v>897</v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 t="s">
        <v>898</v>
      </c>
    </row>
    <row r="77" spans="1:33" x14ac:dyDescent="0.25">
      <c r="A77" s="1">
        <v>73</v>
      </c>
      <c r="B77" s="10" t="s">
        <v>361</v>
      </c>
      <c r="C77" s="11" t="s">
        <v>899</v>
      </c>
      <c r="D77" s="11" t="s">
        <v>900</v>
      </c>
      <c r="E77" s="11">
        <v>915224009</v>
      </c>
      <c r="F77" s="11" t="s">
        <v>901</v>
      </c>
      <c r="G77" s="11" t="s">
        <v>365</v>
      </c>
      <c r="H77" s="11" t="s">
        <v>902</v>
      </c>
      <c r="I77" s="11" t="s">
        <v>367</v>
      </c>
      <c r="J77" s="11" t="s">
        <v>903</v>
      </c>
      <c r="K77" s="11" t="s">
        <v>369</v>
      </c>
      <c r="L77" s="11"/>
      <c r="M77" s="11" t="s">
        <v>371</v>
      </c>
      <c r="N77" s="11" t="s">
        <v>371</v>
      </c>
      <c r="O77" s="12">
        <v>46066</v>
      </c>
      <c r="P77" s="11">
        <v>280</v>
      </c>
      <c r="Q77" s="11">
        <v>84</v>
      </c>
      <c r="R77" s="11" t="s">
        <v>904</v>
      </c>
      <c r="S77" s="11" t="s">
        <v>707</v>
      </c>
      <c r="T77" s="11">
        <v>295</v>
      </c>
      <c r="U77" s="11" t="s">
        <v>905</v>
      </c>
      <c r="V77" s="11" t="s">
        <v>906</v>
      </c>
      <c r="W77" s="11"/>
      <c r="X77" s="11"/>
      <c r="Y77" s="11"/>
      <c r="Z77" s="11" t="s">
        <v>907</v>
      </c>
      <c r="AA77" s="11" t="s">
        <v>908</v>
      </c>
      <c r="AB77" s="11"/>
      <c r="AC77" s="11"/>
      <c r="AD77" s="11"/>
      <c r="AE77" s="11"/>
      <c r="AF77" s="11"/>
      <c r="AG77" s="11" t="s">
        <v>909</v>
      </c>
    </row>
    <row r="78" spans="1:33" x14ac:dyDescent="0.25">
      <c r="A78" s="1">
        <v>74</v>
      </c>
      <c r="B78" s="10" t="s">
        <v>361</v>
      </c>
      <c r="C78" s="11" t="s">
        <v>910</v>
      </c>
      <c r="D78" s="11" t="s">
        <v>911</v>
      </c>
      <c r="E78" s="11">
        <v>980742753</v>
      </c>
      <c r="F78" s="11" t="s">
        <v>912</v>
      </c>
      <c r="G78" s="11" t="s">
        <v>412</v>
      </c>
      <c r="H78" s="11" t="s">
        <v>395</v>
      </c>
      <c r="I78" s="11" t="s">
        <v>386</v>
      </c>
      <c r="J78" s="11" t="s">
        <v>664</v>
      </c>
      <c r="K78" s="11" t="s">
        <v>430</v>
      </c>
      <c r="L78" s="11" t="s">
        <v>753</v>
      </c>
      <c r="M78" s="11" t="s">
        <v>406</v>
      </c>
      <c r="N78" s="11" t="s">
        <v>406</v>
      </c>
      <c r="O78" s="12">
        <v>46066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 t="s">
        <v>378</v>
      </c>
      <c r="AF78" s="11" t="s">
        <v>913</v>
      </c>
      <c r="AG78" s="11" t="s">
        <v>914</v>
      </c>
    </row>
    <row r="79" spans="1:33" x14ac:dyDescent="0.25">
      <c r="A79" s="1">
        <v>75</v>
      </c>
      <c r="B79" s="10" t="s">
        <v>361</v>
      </c>
      <c r="C79" s="11" t="s">
        <v>915</v>
      </c>
      <c r="D79" s="11" t="s">
        <v>410</v>
      </c>
      <c r="E79" s="11">
        <v>980221756</v>
      </c>
      <c r="F79" s="11" t="s">
        <v>916</v>
      </c>
      <c r="G79" s="11" t="s">
        <v>412</v>
      </c>
      <c r="H79" s="11" t="s">
        <v>395</v>
      </c>
      <c r="I79" s="11" t="s">
        <v>386</v>
      </c>
      <c r="J79" s="11" t="s">
        <v>676</v>
      </c>
      <c r="K79" s="11" t="s">
        <v>513</v>
      </c>
      <c r="L79" s="11" t="s">
        <v>917</v>
      </c>
      <c r="M79" s="11" t="s">
        <v>406</v>
      </c>
      <c r="N79" s="11" t="s">
        <v>406</v>
      </c>
      <c r="O79" s="12">
        <v>46034</v>
      </c>
      <c r="P79" s="11"/>
      <c r="Q79" s="11"/>
      <c r="R79" s="11" t="s">
        <v>918</v>
      </c>
      <c r="S79" s="11"/>
      <c r="T79" s="11"/>
      <c r="U79" s="11" t="s">
        <v>919</v>
      </c>
      <c r="V79" s="11" t="s">
        <v>476</v>
      </c>
      <c r="W79" s="11" t="s">
        <v>433</v>
      </c>
      <c r="X79" s="11" t="s">
        <v>767</v>
      </c>
      <c r="Y79" s="11" t="s">
        <v>920</v>
      </c>
      <c r="Z79" s="11" t="s">
        <v>921</v>
      </c>
      <c r="AA79" s="11"/>
      <c r="AB79" s="11"/>
      <c r="AC79" s="11"/>
      <c r="AD79" s="11"/>
      <c r="AE79" s="11" t="s">
        <v>378</v>
      </c>
      <c r="AF79" s="11"/>
      <c r="AG79" s="11" t="s">
        <v>922</v>
      </c>
    </row>
    <row r="80" spans="1:33" x14ac:dyDescent="0.25">
      <c r="A80" s="1">
        <v>76</v>
      </c>
      <c r="B80" s="10" t="s">
        <v>381</v>
      </c>
      <c r="C80" s="11" t="s">
        <v>923</v>
      </c>
      <c r="D80" s="11" t="s">
        <v>924</v>
      </c>
      <c r="E80" s="11">
        <v>951112839</v>
      </c>
      <c r="F80" s="11" t="s">
        <v>925</v>
      </c>
      <c r="G80" s="11" t="s">
        <v>412</v>
      </c>
      <c r="H80" s="11" t="s">
        <v>395</v>
      </c>
      <c r="I80" s="11" t="s">
        <v>386</v>
      </c>
      <c r="J80" s="11" t="s">
        <v>864</v>
      </c>
      <c r="K80" s="11" t="s">
        <v>926</v>
      </c>
      <c r="L80" s="11" t="s">
        <v>927</v>
      </c>
      <c r="M80" s="11" t="s">
        <v>371</v>
      </c>
      <c r="N80" s="11" t="s">
        <v>371</v>
      </c>
      <c r="O80" s="12">
        <v>46030</v>
      </c>
      <c r="P80" s="11"/>
      <c r="Q80" s="11"/>
      <c r="R80" s="11"/>
      <c r="S80" s="11"/>
      <c r="T80" s="11"/>
      <c r="U80" s="11" t="s">
        <v>928</v>
      </c>
      <c r="V80" s="11" t="s">
        <v>929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 x14ac:dyDescent="0.25">
      <c r="A81" s="1">
        <v>77</v>
      </c>
      <c r="B81" s="10" t="s">
        <v>361</v>
      </c>
      <c r="C81" s="11" t="s">
        <v>930</v>
      </c>
      <c r="D81" s="11" t="s">
        <v>931</v>
      </c>
      <c r="E81" s="11">
        <v>956466454</v>
      </c>
      <c r="F81" s="11" t="s">
        <v>932</v>
      </c>
      <c r="G81" s="11" t="s">
        <v>412</v>
      </c>
      <c r="H81" s="11" t="s">
        <v>395</v>
      </c>
      <c r="I81" s="11" t="s">
        <v>386</v>
      </c>
      <c r="J81" s="11" t="s">
        <v>590</v>
      </c>
      <c r="K81" s="11" t="s">
        <v>369</v>
      </c>
      <c r="L81" s="11" t="s">
        <v>933</v>
      </c>
      <c r="M81" s="11" t="s">
        <v>371</v>
      </c>
      <c r="N81" s="11" t="s">
        <v>371</v>
      </c>
      <c r="O81" s="12">
        <v>46026</v>
      </c>
      <c r="P81" s="11"/>
      <c r="Q81" s="11"/>
      <c r="R81" s="11"/>
      <c r="S81" s="11"/>
      <c r="T81" s="11"/>
      <c r="U81" s="11" t="s">
        <v>934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 x14ac:dyDescent="0.25">
      <c r="A82" s="1">
        <v>78</v>
      </c>
      <c r="B82" s="10" t="s">
        <v>361</v>
      </c>
      <c r="C82" s="11" t="s">
        <v>935</v>
      </c>
      <c r="D82" s="11" t="s">
        <v>936</v>
      </c>
      <c r="E82" s="11">
        <v>927287975</v>
      </c>
      <c r="F82" s="11" t="s">
        <v>937</v>
      </c>
      <c r="G82" s="11" t="s">
        <v>365</v>
      </c>
      <c r="H82" s="11" t="s">
        <v>395</v>
      </c>
      <c r="I82" s="11" t="s">
        <v>367</v>
      </c>
      <c r="J82" s="11" t="s">
        <v>439</v>
      </c>
      <c r="K82" s="11" t="s">
        <v>938</v>
      </c>
      <c r="L82" s="11" t="s">
        <v>939</v>
      </c>
      <c r="M82" s="11" t="s">
        <v>371</v>
      </c>
      <c r="N82" s="11" t="s">
        <v>371</v>
      </c>
      <c r="O82" s="12">
        <v>46018</v>
      </c>
      <c r="P82" s="11"/>
      <c r="Q82" s="11"/>
      <c r="R82" s="11" t="s">
        <v>389</v>
      </c>
      <c r="S82" s="11"/>
      <c r="T82" s="11"/>
      <c r="U82" s="11" t="s">
        <v>477</v>
      </c>
      <c r="V82" s="11"/>
      <c r="W82" s="11"/>
      <c r="X82" s="11"/>
      <c r="Y82" s="11"/>
      <c r="Z82" s="11" t="s">
        <v>940</v>
      </c>
      <c r="AA82" s="11"/>
      <c r="AB82" s="11"/>
      <c r="AC82" s="11"/>
      <c r="AD82" s="11"/>
      <c r="AE82" s="11"/>
      <c r="AF82" s="11"/>
      <c r="AG82" s="11" t="s">
        <v>941</v>
      </c>
    </row>
    <row r="83" spans="1:33" x14ac:dyDescent="0.25">
      <c r="A83" s="1">
        <v>79</v>
      </c>
      <c r="B83" s="10" t="s">
        <v>361</v>
      </c>
      <c r="C83" s="11" t="s">
        <v>942</v>
      </c>
      <c r="D83" s="11" t="s">
        <v>943</v>
      </c>
      <c r="E83" s="11">
        <v>930943597</v>
      </c>
      <c r="F83" s="11" t="s">
        <v>877</v>
      </c>
      <c r="G83" s="11" t="s">
        <v>365</v>
      </c>
      <c r="H83" s="11" t="s">
        <v>385</v>
      </c>
      <c r="I83" s="11" t="s">
        <v>386</v>
      </c>
      <c r="J83" s="11" t="s">
        <v>621</v>
      </c>
      <c r="K83" s="11" t="s">
        <v>369</v>
      </c>
      <c r="L83" s="11"/>
      <c r="M83" s="11" t="s">
        <v>371</v>
      </c>
      <c r="N83" s="11" t="s">
        <v>406</v>
      </c>
      <c r="O83" s="12">
        <v>46007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 x14ac:dyDescent="0.25">
      <c r="A84" s="1">
        <v>80</v>
      </c>
      <c r="B84" s="10" t="s">
        <v>361</v>
      </c>
      <c r="C84" s="11" t="s">
        <v>944</v>
      </c>
      <c r="D84" s="11" t="s">
        <v>945</v>
      </c>
      <c r="E84" s="11">
        <v>959139783</v>
      </c>
      <c r="F84" s="11" t="s">
        <v>946</v>
      </c>
      <c r="G84" s="11" t="s">
        <v>412</v>
      </c>
      <c r="H84" s="11" t="s">
        <v>395</v>
      </c>
      <c r="I84" s="11" t="s">
        <v>367</v>
      </c>
      <c r="J84" s="11" t="s">
        <v>403</v>
      </c>
      <c r="K84" s="11" t="s">
        <v>440</v>
      </c>
      <c r="L84" s="11" t="s">
        <v>642</v>
      </c>
      <c r="M84" s="11" t="s">
        <v>371</v>
      </c>
      <c r="N84" s="11" t="s">
        <v>371</v>
      </c>
      <c r="O84" s="12">
        <v>45684</v>
      </c>
      <c r="P84" s="11"/>
      <c r="Q84" s="11"/>
      <c r="R84" s="11"/>
      <c r="S84" s="11"/>
      <c r="T84" s="11"/>
      <c r="U84" s="11" t="s">
        <v>947</v>
      </c>
      <c r="V84" s="11" t="s">
        <v>948</v>
      </c>
      <c r="W84" s="11" t="s">
        <v>417</v>
      </c>
      <c r="X84" s="11"/>
      <c r="Y84" s="11"/>
      <c r="Z84" s="11" t="s">
        <v>907</v>
      </c>
      <c r="AA84" s="11"/>
      <c r="AB84" s="11"/>
      <c r="AC84" s="11"/>
      <c r="AD84" s="11"/>
      <c r="AE84" s="11"/>
      <c r="AF84" s="11"/>
      <c r="AG84" s="11"/>
    </row>
    <row r="85" spans="1:33" x14ac:dyDescent="0.25">
      <c r="A85" s="1">
        <v>81</v>
      </c>
      <c r="B85" s="10" t="s">
        <v>361</v>
      </c>
      <c r="C85" s="11" t="s">
        <v>949</v>
      </c>
      <c r="D85" s="11" t="s">
        <v>950</v>
      </c>
      <c r="E85" s="11">
        <v>982026767</v>
      </c>
      <c r="F85" s="11" t="s">
        <v>951</v>
      </c>
      <c r="G85" s="11" t="s">
        <v>412</v>
      </c>
      <c r="H85" s="11" t="s">
        <v>395</v>
      </c>
      <c r="I85" s="11" t="s">
        <v>367</v>
      </c>
      <c r="J85" s="11" t="s">
        <v>424</v>
      </c>
      <c r="K85" s="11" t="s">
        <v>689</v>
      </c>
      <c r="L85" s="11"/>
      <c r="M85" s="11" t="s">
        <v>371</v>
      </c>
      <c r="N85" s="11" t="s">
        <v>371</v>
      </c>
      <c r="O85" s="12">
        <v>46114</v>
      </c>
      <c r="P85" s="11"/>
      <c r="Q85" s="11"/>
      <c r="R85" s="11"/>
      <c r="S85" s="11"/>
      <c r="T85" s="11"/>
      <c r="U85" s="11" t="s">
        <v>477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 x14ac:dyDescent="0.25">
      <c r="A86" s="1">
        <v>82</v>
      </c>
      <c r="B86" s="10" t="s">
        <v>361</v>
      </c>
      <c r="C86" s="11" t="s">
        <v>952</v>
      </c>
      <c r="D86" s="11" t="s">
        <v>953</v>
      </c>
      <c r="E86" s="11">
        <v>913454488</v>
      </c>
      <c r="F86" s="11" t="s">
        <v>954</v>
      </c>
      <c r="G86" s="11" t="s">
        <v>365</v>
      </c>
      <c r="H86" s="11" t="s">
        <v>395</v>
      </c>
      <c r="I86" s="11" t="s">
        <v>367</v>
      </c>
      <c r="J86" s="11" t="s">
        <v>445</v>
      </c>
      <c r="K86" s="11" t="s">
        <v>786</v>
      </c>
      <c r="L86" s="11" t="s">
        <v>502</v>
      </c>
      <c r="M86" s="11" t="s">
        <v>371</v>
      </c>
      <c r="N86" s="11" t="s">
        <v>406</v>
      </c>
      <c r="O86" s="12">
        <v>45681</v>
      </c>
      <c r="P86" s="11"/>
      <c r="Q86" s="11"/>
      <c r="R86" s="11" t="s">
        <v>955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 t="s">
        <v>956</v>
      </c>
    </row>
    <row r="87" spans="1:33" x14ac:dyDescent="0.25">
      <c r="A87" s="1">
        <v>83</v>
      </c>
      <c r="B87" s="10" t="s">
        <v>361</v>
      </c>
      <c r="C87" s="11" t="s">
        <v>957</v>
      </c>
      <c r="D87" s="11" t="s">
        <v>958</v>
      </c>
      <c r="E87" s="11">
        <v>940062510</v>
      </c>
      <c r="F87" s="11" t="s">
        <v>959</v>
      </c>
      <c r="G87" s="11" t="s">
        <v>365</v>
      </c>
      <c r="H87" s="11" t="s">
        <v>366</v>
      </c>
      <c r="I87" s="11" t="s">
        <v>367</v>
      </c>
      <c r="J87" s="11" t="s">
        <v>864</v>
      </c>
      <c r="K87" s="11" t="s">
        <v>535</v>
      </c>
      <c r="L87" s="11" t="s">
        <v>414</v>
      </c>
      <c r="M87" s="11" t="s">
        <v>371</v>
      </c>
      <c r="N87" s="11" t="s">
        <v>406</v>
      </c>
      <c r="O87" s="12">
        <v>45770</v>
      </c>
      <c r="P87" s="11"/>
      <c r="Q87" s="11"/>
      <c r="R87" s="11"/>
      <c r="S87" s="11"/>
      <c r="T87" s="11"/>
      <c r="U87" s="11" t="s">
        <v>960</v>
      </c>
      <c r="V87" s="11"/>
      <c r="W87" s="11"/>
      <c r="X87" s="11"/>
      <c r="Y87" s="11"/>
      <c r="Z87" s="11" t="s">
        <v>961</v>
      </c>
      <c r="AA87" s="11"/>
      <c r="AB87" s="11"/>
      <c r="AC87" s="11"/>
      <c r="AD87" s="11"/>
      <c r="AE87" s="11" t="s">
        <v>378</v>
      </c>
      <c r="AF87" s="11"/>
      <c r="AG87" s="11" t="s">
        <v>962</v>
      </c>
    </row>
    <row r="88" spans="1:33" x14ac:dyDescent="0.25">
      <c r="A88" s="1">
        <v>84</v>
      </c>
      <c r="B88" s="10" t="s">
        <v>381</v>
      </c>
      <c r="C88" s="11" t="s">
        <v>963</v>
      </c>
      <c r="D88" s="11" t="s">
        <v>964</v>
      </c>
      <c r="E88" s="11">
        <v>932323410</v>
      </c>
      <c r="F88" s="11" t="s">
        <v>965</v>
      </c>
      <c r="G88" s="11" t="s">
        <v>365</v>
      </c>
      <c r="H88" s="11" t="s">
        <v>966</v>
      </c>
      <c r="I88" s="11" t="s">
        <v>367</v>
      </c>
      <c r="J88" s="11" t="s">
        <v>967</v>
      </c>
      <c r="K88" s="11" t="s">
        <v>430</v>
      </c>
      <c r="L88" s="11"/>
      <c r="M88" s="11" t="s">
        <v>371</v>
      </c>
      <c r="N88" s="11" t="s">
        <v>371</v>
      </c>
      <c r="O88" s="12">
        <v>45857</v>
      </c>
      <c r="P88" s="11"/>
      <c r="Q88" s="11"/>
      <c r="R88" s="11"/>
      <c r="S88" s="11"/>
      <c r="T88" s="11"/>
      <c r="U88" s="11" t="s">
        <v>968</v>
      </c>
      <c r="V88" s="11" t="s">
        <v>759</v>
      </c>
      <c r="W88" s="11"/>
      <c r="X88" s="11"/>
      <c r="Y88" s="11"/>
      <c r="Z88" s="11" t="s">
        <v>907</v>
      </c>
      <c r="AA88" s="11"/>
      <c r="AB88" s="11"/>
      <c r="AC88" s="11"/>
      <c r="AD88" s="11"/>
      <c r="AE88" s="11"/>
      <c r="AF88" s="11"/>
      <c r="AG88" s="11" t="s">
        <v>969</v>
      </c>
    </row>
    <row r="89" spans="1:33" x14ac:dyDescent="0.25">
      <c r="A89" s="1">
        <v>85</v>
      </c>
      <c r="B89" s="10" t="s">
        <v>361</v>
      </c>
      <c r="C89" s="11" t="s">
        <v>970</v>
      </c>
      <c r="D89" s="11" t="s">
        <v>971</v>
      </c>
      <c r="E89" s="11">
        <v>995848410</v>
      </c>
      <c r="F89" s="11" t="s">
        <v>972</v>
      </c>
      <c r="G89" s="11" t="s">
        <v>365</v>
      </c>
      <c r="H89" s="11" t="s">
        <v>973</v>
      </c>
      <c r="I89" s="11" t="s">
        <v>386</v>
      </c>
      <c r="J89" s="11" t="s">
        <v>445</v>
      </c>
      <c r="K89" s="11" t="s">
        <v>491</v>
      </c>
      <c r="L89" s="11"/>
      <c r="M89" s="11" t="s">
        <v>371</v>
      </c>
      <c r="N89" s="11" t="s">
        <v>371</v>
      </c>
      <c r="O89" s="12">
        <v>45823</v>
      </c>
      <c r="P89" s="11"/>
      <c r="Q89" s="11"/>
      <c r="R89" s="11" t="s">
        <v>974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 x14ac:dyDescent="0.25">
      <c r="A90" s="1">
        <v>86</v>
      </c>
      <c r="B90" s="10" t="s">
        <v>381</v>
      </c>
      <c r="C90" s="11" t="s">
        <v>975</v>
      </c>
      <c r="D90" s="11" t="s">
        <v>410</v>
      </c>
      <c r="E90" s="11">
        <v>953281239</v>
      </c>
      <c r="F90" s="11" t="s">
        <v>976</v>
      </c>
      <c r="G90" s="11" t="s">
        <v>365</v>
      </c>
      <c r="H90" s="11" t="s">
        <v>395</v>
      </c>
      <c r="I90" s="11" t="s">
        <v>386</v>
      </c>
      <c r="J90" s="11" t="s">
        <v>424</v>
      </c>
      <c r="K90" s="11" t="s">
        <v>440</v>
      </c>
      <c r="L90" s="11" t="s">
        <v>405</v>
      </c>
      <c r="M90" s="11" t="s">
        <v>371</v>
      </c>
      <c r="N90" s="11" t="s">
        <v>371</v>
      </c>
      <c r="O90" s="12">
        <v>46022</v>
      </c>
      <c r="P90" s="11"/>
      <c r="Q90" s="11"/>
      <c r="R90" s="11"/>
      <c r="S90" s="11"/>
      <c r="T90" s="11"/>
      <c r="U90" s="11" t="s">
        <v>977</v>
      </c>
      <c r="V90" s="11" t="s">
        <v>978</v>
      </c>
      <c r="W90" s="11"/>
      <c r="X90" s="11"/>
      <c r="Y90" s="11"/>
      <c r="Z90" s="11" t="s">
        <v>979</v>
      </c>
      <c r="AA90" s="11" t="s">
        <v>980</v>
      </c>
      <c r="AB90" s="11"/>
      <c r="AC90" s="11"/>
      <c r="AD90" s="11"/>
      <c r="AE90" s="11"/>
      <c r="AF90" s="11"/>
      <c r="AG90" s="11" t="s">
        <v>981</v>
      </c>
    </row>
    <row r="91" spans="1:33" x14ac:dyDescent="0.25">
      <c r="A91" s="1">
        <v>87</v>
      </c>
      <c r="B91" s="10" t="s">
        <v>381</v>
      </c>
      <c r="C91" s="11" t="s">
        <v>982</v>
      </c>
      <c r="D91" s="11" t="s">
        <v>983</v>
      </c>
      <c r="E91" s="11">
        <v>979607981</v>
      </c>
      <c r="F91" s="11" t="s">
        <v>984</v>
      </c>
      <c r="G91" s="11" t="s">
        <v>365</v>
      </c>
      <c r="H91" s="11" t="s">
        <v>395</v>
      </c>
      <c r="I91" s="11" t="s">
        <v>367</v>
      </c>
      <c r="J91" s="11" t="s">
        <v>985</v>
      </c>
      <c r="K91" s="11" t="s">
        <v>622</v>
      </c>
      <c r="L91" s="11" t="s">
        <v>986</v>
      </c>
      <c r="M91" s="11" t="s">
        <v>406</v>
      </c>
      <c r="N91" s="11" t="s">
        <v>371</v>
      </c>
      <c r="O91" s="12">
        <v>45794</v>
      </c>
      <c r="P91" s="11">
        <v>248</v>
      </c>
      <c r="Q91" s="11">
        <v>44</v>
      </c>
      <c r="R91" s="11">
        <v>38</v>
      </c>
      <c r="S91" s="11" t="s">
        <v>529</v>
      </c>
      <c r="T91" s="11"/>
      <c r="U91" s="11" t="s">
        <v>987</v>
      </c>
      <c r="V91" s="11" t="s">
        <v>417</v>
      </c>
      <c r="W91" s="11" t="s">
        <v>457</v>
      </c>
      <c r="X91" s="11"/>
      <c r="Y91" s="11"/>
      <c r="Z91" s="11" t="s">
        <v>988</v>
      </c>
      <c r="AA91" s="11"/>
      <c r="AB91" s="11"/>
      <c r="AC91" s="11"/>
      <c r="AD91" s="11"/>
      <c r="AE91" s="11"/>
      <c r="AF91" s="11"/>
      <c r="AG91" s="11" t="s">
        <v>989</v>
      </c>
    </row>
    <row r="92" spans="1:33" x14ac:dyDescent="0.25">
      <c r="A92" s="1">
        <v>88</v>
      </c>
      <c r="B92" s="10" t="s">
        <v>361</v>
      </c>
      <c r="C92" s="11" t="s">
        <v>990</v>
      </c>
      <c r="D92" s="11" t="s">
        <v>991</v>
      </c>
      <c r="E92" s="11">
        <v>935285842</v>
      </c>
      <c r="F92" s="11" t="s">
        <v>992</v>
      </c>
      <c r="G92" s="11" t="s">
        <v>412</v>
      </c>
      <c r="H92" s="11" t="s">
        <v>395</v>
      </c>
      <c r="I92" s="11" t="s">
        <v>367</v>
      </c>
      <c r="J92" s="11" t="s">
        <v>621</v>
      </c>
      <c r="K92" s="11" t="s">
        <v>840</v>
      </c>
      <c r="L92" s="11"/>
      <c r="M92" s="11" t="s">
        <v>406</v>
      </c>
      <c r="N92" s="11" t="s">
        <v>371</v>
      </c>
      <c r="O92" s="12">
        <v>45780</v>
      </c>
      <c r="P92" s="11"/>
      <c r="Q92" s="11"/>
      <c r="R92" s="11"/>
      <c r="S92" s="11"/>
      <c r="T92" s="11"/>
      <c r="U92" s="11" t="s">
        <v>993</v>
      </c>
      <c r="V92" s="11" t="s">
        <v>994</v>
      </c>
      <c r="W92" s="11" t="s">
        <v>995</v>
      </c>
      <c r="X92" s="11"/>
      <c r="Y92" s="11"/>
      <c r="Z92" s="11" t="s">
        <v>996</v>
      </c>
      <c r="AA92" s="11"/>
      <c r="AB92" s="11"/>
      <c r="AC92" s="11"/>
      <c r="AD92" s="11"/>
      <c r="AE92" s="11" t="s">
        <v>378</v>
      </c>
      <c r="AF92" s="11"/>
      <c r="AG92" s="11" t="s">
        <v>997</v>
      </c>
    </row>
    <row r="93" spans="1:33" x14ac:dyDescent="0.25">
      <c r="A93" s="1">
        <v>89</v>
      </c>
      <c r="B93" s="10" t="s">
        <v>381</v>
      </c>
      <c r="C93" s="11" t="s">
        <v>998</v>
      </c>
      <c r="D93" s="11" t="s">
        <v>999</v>
      </c>
      <c r="E93" s="11">
        <v>959756876</v>
      </c>
      <c r="F93" s="11" t="s">
        <v>1000</v>
      </c>
      <c r="G93" s="11" t="s">
        <v>365</v>
      </c>
      <c r="H93" s="11" t="s">
        <v>395</v>
      </c>
      <c r="I93" s="11" t="s">
        <v>367</v>
      </c>
      <c r="J93" s="11" t="s">
        <v>424</v>
      </c>
      <c r="K93" s="11" t="s">
        <v>1001</v>
      </c>
      <c r="L93" s="11" t="s">
        <v>1002</v>
      </c>
      <c r="M93" s="11" t="s">
        <v>406</v>
      </c>
      <c r="N93" s="11" t="s">
        <v>371</v>
      </c>
      <c r="O93" s="12">
        <v>46032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 x14ac:dyDescent="0.25">
      <c r="A94" s="1">
        <v>90</v>
      </c>
      <c r="B94" s="10" t="s">
        <v>361</v>
      </c>
      <c r="C94" s="11" t="s">
        <v>1003</v>
      </c>
      <c r="D94" s="11" t="s">
        <v>1004</v>
      </c>
      <c r="E94" s="11">
        <v>927638645</v>
      </c>
      <c r="F94" s="11" t="s">
        <v>1005</v>
      </c>
      <c r="G94" s="11" t="s">
        <v>365</v>
      </c>
      <c r="H94" s="11" t="s">
        <v>395</v>
      </c>
      <c r="I94" s="11" t="s">
        <v>367</v>
      </c>
      <c r="J94" s="11" t="s">
        <v>664</v>
      </c>
      <c r="K94" s="11" t="s">
        <v>840</v>
      </c>
      <c r="L94" s="11"/>
      <c r="M94" s="11" t="s">
        <v>371</v>
      </c>
      <c r="N94" s="11" t="s">
        <v>406</v>
      </c>
      <c r="O94" s="12">
        <v>46032</v>
      </c>
      <c r="P94" s="11"/>
      <c r="Q94" s="11"/>
      <c r="R94" s="11"/>
      <c r="S94" s="11"/>
      <c r="T94" s="11"/>
      <c r="U94" s="11" t="s">
        <v>1006</v>
      </c>
      <c r="V94" s="11"/>
      <c r="W94" s="11"/>
      <c r="X94" s="11"/>
      <c r="Y94" s="11"/>
      <c r="Z94" s="11"/>
      <c r="AA94" s="11"/>
      <c r="AB94" s="11"/>
      <c r="AC94" s="11"/>
      <c r="AD94" s="11"/>
      <c r="AE94" s="11" t="s">
        <v>801</v>
      </c>
      <c r="AF94" s="11"/>
      <c r="AG94" s="11" t="s">
        <v>1007</v>
      </c>
    </row>
    <row r="95" spans="1:33" x14ac:dyDescent="0.25">
      <c r="A95" s="1">
        <v>91</v>
      </c>
      <c r="B95" s="10" t="s">
        <v>361</v>
      </c>
      <c r="C95" s="11" t="s">
        <v>1008</v>
      </c>
      <c r="D95" s="11" t="s">
        <v>1009</v>
      </c>
      <c r="E95" s="11">
        <v>987823149</v>
      </c>
      <c r="F95" s="11" t="s">
        <v>1010</v>
      </c>
      <c r="G95" s="11" t="s">
        <v>365</v>
      </c>
      <c r="H95" s="11" t="s">
        <v>395</v>
      </c>
      <c r="I95" s="11" t="s">
        <v>367</v>
      </c>
      <c r="J95" s="11" t="s">
        <v>439</v>
      </c>
      <c r="K95" s="11" t="s">
        <v>440</v>
      </c>
      <c r="L95" s="11" t="s">
        <v>1011</v>
      </c>
      <c r="M95" s="11" t="s">
        <v>371</v>
      </c>
      <c r="N95" s="11" t="s">
        <v>371</v>
      </c>
      <c r="O95" s="12">
        <v>45896</v>
      </c>
      <c r="P95" s="11"/>
      <c r="Q95" s="11"/>
      <c r="R95" s="11"/>
      <c r="S95" s="11"/>
      <c r="T95" s="11"/>
      <c r="U95" s="11" t="s">
        <v>592</v>
      </c>
      <c r="V95" s="11" t="s">
        <v>448</v>
      </c>
      <c r="W95" s="11" t="s">
        <v>1012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 t="s">
        <v>1013</v>
      </c>
    </row>
    <row r="96" spans="1:33" x14ac:dyDescent="0.25">
      <c r="A96" s="1">
        <v>92</v>
      </c>
      <c r="B96" s="10" t="s">
        <v>381</v>
      </c>
      <c r="C96" s="11" t="s">
        <v>1014</v>
      </c>
      <c r="D96" s="11" t="s">
        <v>1015</v>
      </c>
      <c r="E96" s="11">
        <v>943547637</v>
      </c>
      <c r="F96" s="11" t="s">
        <v>1010</v>
      </c>
      <c r="G96" s="11" t="s">
        <v>365</v>
      </c>
      <c r="H96" s="11" t="s">
        <v>395</v>
      </c>
      <c r="I96" s="11" t="s">
        <v>367</v>
      </c>
      <c r="J96" s="11" t="s">
        <v>439</v>
      </c>
      <c r="K96" s="11" t="s">
        <v>440</v>
      </c>
      <c r="L96" s="11"/>
      <c r="M96" s="11" t="s">
        <v>371</v>
      </c>
      <c r="N96" s="11" t="s">
        <v>371</v>
      </c>
      <c r="O96" s="12">
        <v>46127</v>
      </c>
      <c r="P96" s="11"/>
      <c r="Q96" s="11"/>
      <c r="R96" s="11"/>
      <c r="S96" s="11"/>
      <c r="T96" s="11"/>
      <c r="U96" s="11" t="s">
        <v>1016</v>
      </c>
      <c r="V96" s="11" t="s">
        <v>1017</v>
      </c>
      <c r="W96" s="11" t="s">
        <v>476</v>
      </c>
      <c r="X96" s="11" t="s">
        <v>1018</v>
      </c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1">
        <v>93</v>
      </c>
      <c r="B97" s="10" t="s">
        <v>381</v>
      </c>
      <c r="C97" s="11" t="s">
        <v>1019</v>
      </c>
      <c r="D97" s="11" t="s">
        <v>1020</v>
      </c>
      <c r="E97" s="11">
        <v>983828595</v>
      </c>
      <c r="F97" s="11" t="s">
        <v>1021</v>
      </c>
      <c r="G97" s="11" t="s">
        <v>365</v>
      </c>
      <c r="H97" s="11" t="s">
        <v>395</v>
      </c>
      <c r="I97" s="11" t="s">
        <v>367</v>
      </c>
      <c r="J97" s="11" t="s">
        <v>429</v>
      </c>
      <c r="K97" s="11" t="s">
        <v>369</v>
      </c>
      <c r="L97" s="11" t="s">
        <v>1022</v>
      </c>
      <c r="M97" s="11" t="s">
        <v>371</v>
      </c>
      <c r="N97" s="11" t="s">
        <v>406</v>
      </c>
      <c r="O97" s="12">
        <v>46125</v>
      </c>
      <c r="P97" s="11"/>
      <c r="Q97" s="11"/>
      <c r="R97" s="11">
        <v>40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 x14ac:dyDescent="0.25">
      <c r="A98" s="1">
        <v>94</v>
      </c>
      <c r="B98" s="10" t="s">
        <v>361</v>
      </c>
      <c r="C98" s="11" t="s">
        <v>1023</v>
      </c>
      <c r="D98" s="11" t="s">
        <v>1024</v>
      </c>
      <c r="E98" s="11">
        <v>965627588</v>
      </c>
      <c r="F98" s="11" t="s">
        <v>1025</v>
      </c>
      <c r="G98" s="11" t="s">
        <v>365</v>
      </c>
      <c r="H98" s="11" t="s">
        <v>647</v>
      </c>
      <c r="I98" s="11" t="s">
        <v>386</v>
      </c>
      <c r="J98" s="11" t="s">
        <v>445</v>
      </c>
      <c r="K98" s="11" t="s">
        <v>630</v>
      </c>
      <c r="L98" s="11" t="s">
        <v>1026</v>
      </c>
      <c r="M98" s="11" t="s">
        <v>371</v>
      </c>
      <c r="N98" s="11" t="s">
        <v>406</v>
      </c>
      <c r="O98" s="12">
        <v>46029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 t="s">
        <v>72</v>
      </c>
    </row>
    <row r="99" spans="1:33" x14ac:dyDescent="0.25">
      <c r="A99" s="1">
        <v>95</v>
      </c>
      <c r="B99" s="10" t="s">
        <v>361</v>
      </c>
      <c r="C99" s="11" t="s">
        <v>1027</v>
      </c>
      <c r="D99" s="11" t="s">
        <v>1028</v>
      </c>
      <c r="E99" s="11">
        <v>975310080</v>
      </c>
      <c r="F99" s="11" t="s">
        <v>1010</v>
      </c>
      <c r="G99" s="11" t="s">
        <v>365</v>
      </c>
      <c r="H99" s="11" t="s">
        <v>395</v>
      </c>
      <c r="I99" s="11" t="s">
        <v>367</v>
      </c>
      <c r="J99" s="11" t="s">
        <v>590</v>
      </c>
      <c r="K99" s="11" t="s">
        <v>630</v>
      </c>
      <c r="L99" s="11" t="s">
        <v>1029</v>
      </c>
      <c r="M99" s="11" t="s">
        <v>371</v>
      </c>
      <c r="N99" s="11" t="s">
        <v>371</v>
      </c>
      <c r="O99" s="12">
        <v>46059</v>
      </c>
      <c r="P99" s="11"/>
      <c r="Q99" s="11"/>
      <c r="R99" s="11"/>
      <c r="S99" s="11"/>
      <c r="T99" s="11"/>
      <c r="U99" s="11" t="s">
        <v>602</v>
      </c>
      <c r="V99" s="11" t="s">
        <v>1030</v>
      </c>
      <c r="W99" s="11" t="s">
        <v>477</v>
      </c>
      <c r="X99" s="11" t="s">
        <v>1031</v>
      </c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x14ac:dyDescent="0.25">
      <c r="A100" s="1">
        <v>96</v>
      </c>
      <c r="B100" s="10" t="s">
        <v>361</v>
      </c>
      <c r="C100" s="11" t="s">
        <v>1032</v>
      </c>
      <c r="D100" s="11" t="s">
        <v>1033</v>
      </c>
      <c r="E100" s="11">
        <v>936479948</v>
      </c>
      <c r="F100" s="11" t="s">
        <v>1034</v>
      </c>
      <c r="G100" s="11" t="s">
        <v>365</v>
      </c>
      <c r="H100" s="11" t="s">
        <v>395</v>
      </c>
      <c r="I100" s="11" t="s">
        <v>386</v>
      </c>
      <c r="J100" s="11" t="s">
        <v>387</v>
      </c>
      <c r="K100" s="11" t="s">
        <v>440</v>
      </c>
      <c r="L100" s="11" t="s">
        <v>1035</v>
      </c>
      <c r="M100" s="11" t="s">
        <v>371</v>
      </c>
      <c r="N100" s="11" t="s">
        <v>1036</v>
      </c>
      <c r="O100" s="12">
        <v>45679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 t="s">
        <v>1037</v>
      </c>
    </row>
    <row r="101" spans="1:33" x14ac:dyDescent="0.25">
      <c r="A101" s="1">
        <v>97</v>
      </c>
      <c r="B101" s="10" t="s">
        <v>361</v>
      </c>
      <c r="C101" s="11" t="s">
        <v>1038</v>
      </c>
      <c r="D101" s="11" t="s">
        <v>1039</v>
      </c>
      <c r="E101" s="11">
        <v>938596311</v>
      </c>
      <c r="F101" s="11" t="s">
        <v>1040</v>
      </c>
      <c r="G101" s="11" t="s">
        <v>412</v>
      </c>
      <c r="H101" s="11" t="s">
        <v>395</v>
      </c>
      <c r="I101" s="11" t="s">
        <v>367</v>
      </c>
      <c r="J101" s="11" t="s">
        <v>445</v>
      </c>
      <c r="K101" s="11" t="s">
        <v>615</v>
      </c>
      <c r="L101" s="11" t="s">
        <v>642</v>
      </c>
      <c r="M101" s="11" t="s">
        <v>371</v>
      </c>
      <c r="N101" s="11" t="s">
        <v>371</v>
      </c>
      <c r="O101" s="12">
        <v>46242</v>
      </c>
      <c r="P101" s="11">
        <v>112</v>
      </c>
      <c r="Q101" s="11"/>
      <c r="R101" s="11">
        <v>40.700000000000003</v>
      </c>
      <c r="S101" s="11"/>
      <c r="T101" s="11"/>
      <c r="U101" s="11"/>
      <c r="V101" s="11"/>
      <c r="W101" s="11"/>
      <c r="X101" s="11"/>
      <c r="Y101" s="11"/>
      <c r="Z101" s="11" t="s">
        <v>407</v>
      </c>
      <c r="AA101" s="11"/>
      <c r="AB101" s="11"/>
      <c r="AC101" s="11"/>
      <c r="AD101" s="11"/>
      <c r="AE101" s="11"/>
      <c r="AF101" s="11"/>
      <c r="AG101" s="11" t="s">
        <v>1041</v>
      </c>
    </row>
    <row r="102" spans="1:33" x14ac:dyDescent="0.25">
      <c r="A102" s="1">
        <v>98</v>
      </c>
      <c r="B102" s="10" t="s">
        <v>361</v>
      </c>
      <c r="C102" s="11" t="s">
        <v>1042</v>
      </c>
      <c r="D102" s="11" t="s">
        <v>1043</v>
      </c>
      <c r="E102" s="11">
        <v>926533549</v>
      </c>
      <c r="F102" s="11" t="s">
        <v>1000</v>
      </c>
      <c r="G102" s="11" t="s">
        <v>365</v>
      </c>
      <c r="H102" s="11" t="s">
        <v>395</v>
      </c>
      <c r="I102" s="11" t="s">
        <v>367</v>
      </c>
      <c r="J102" s="11" t="s">
        <v>1044</v>
      </c>
      <c r="K102" s="11" t="s">
        <v>1045</v>
      </c>
      <c r="L102" s="11" t="s">
        <v>1046</v>
      </c>
      <c r="M102" s="11" t="s">
        <v>406</v>
      </c>
      <c r="N102" s="11" t="s">
        <v>406</v>
      </c>
      <c r="O102" s="12">
        <v>46021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 t="s">
        <v>378</v>
      </c>
      <c r="AF102" s="11"/>
      <c r="AG102" s="11"/>
    </row>
    <row r="103" spans="1:33" x14ac:dyDescent="0.25">
      <c r="A103" s="1">
        <v>99</v>
      </c>
      <c r="B103" s="10" t="s">
        <v>381</v>
      </c>
      <c r="C103" s="11" t="s">
        <v>1047</v>
      </c>
      <c r="D103" s="11" t="s">
        <v>1048</v>
      </c>
      <c r="E103" s="11">
        <v>961469939</v>
      </c>
      <c r="F103" s="11" t="s">
        <v>1049</v>
      </c>
      <c r="G103" s="11" t="s">
        <v>365</v>
      </c>
      <c r="H103" s="11" t="s">
        <v>1050</v>
      </c>
      <c r="I103" s="11" t="s">
        <v>367</v>
      </c>
      <c r="J103" s="11" t="s">
        <v>445</v>
      </c>
      <c r="K103" s="11" t="s">
        <v>513</v>
      </c>
      <c r="L103" s="11" t="s">
        <v>425</v>
      </c>
      <c r="M103" s="11" t="s">
        <v>371</v>
      </c>
      <c r="N103" s="11" t="s">
        <v>406</v>
      </c>
      <c r="O103" s="12">
        <v>46078</v>
      </c>
      <c r="P103" s="11"/>
      <c r="Q103" s="11"/>
      <c r="R103" s="11">
        <v>38.700000000000003</v>
      </c>
      <c r="S103" s="11" t="s">
        <v>649</v>
      </c>
      <c r="T103" s="11"/>
      <c r="U103" s="11" t="s">
        <v>1051</v>
      </c>
      <c r="V103" s="11" t="s">
        <v>1052</v>
      </c>
      <c r="W103" s="11"/>
      <c r="X103" s="11"/>
      <c r="Y103" s="11"/>
      <c r="Z103" s="11" t="s">
        <v>479</v>
      </c>
      <c r="AA103" s="11"/>
      <c r="AB103" s="11"/>
      <c r="AC103" s="11"/>
      <c r="AD103" s="11"/>
      <c r="AE103" s="11"/>
      <c r="AF103" s="11"/>
      <c r="AG103" s="11" t="s">
        <v>1053</v>
      </c>
    </row>
    <row r="104" spans="1:33" x14ac:dyDescent="0.25">
      <c r="A104" s="1">
        <v>100</v>
      </c>
      <c r="B104" s="10" t="s">
        <v>361</v>
      </c>
      <c r="C104" s="11" t="s">
        <v>1054</v>
      </c>
      <c r="D104" s="11" t="s">
        <v>1055</v>
      </c>
      <c r="E104" s="11">
        <v>961795541</v>
      </c>
      <c r="F104" s="11" t="s">
        <v>1056</v>
      </c>
      <c r="G104" s="11" t="s">
        <v>365</v>
      </c>
      <c r="H104" s="11" t="s">
        <v>395</v>
      </c>
      <c r="I104" s="11" t="s">
        <v>386</v>
      </c>
      <c r="J104" s="11" t="s">
        <v>387</v>
      </c>
      <c r="K104" s="11" t="s">
        <v>1057</v>
      </c>
      <c r="L104" s="11"/>
      <c r="M104" s="11" t="s">
        <v>371</v>
      </c>
      <c r="N104" s="11" t="s">
        <v>371</v>
      </c>
      <c r="O104" s="12">
        <v>46101</v>
      </c>
      <c r="P104" s="11">
        <v>154</v>
      </c>
      <c r="Q104" s="11">
        <v>3.8</v>
      </c>
      <c r="R104" s="11">
        <v>3.8</v>
      </c>
      <c r="S104" s="11" t="s">
        <v>747</v>
      </c>
      <c r="T104" s="11">
        <v>37</v>
      </c>
      <c r="U104" s="11" t="s">
        <v>947</v>
      </c>
      <c r="V104" s="11" t="s">
        <v>759</v>
      </c>
      <c r="W104" s="11" t="s">
        <v>968</v>
      </c>
      <c r="X104" s="11" t="s">
        <v>1058</v>
      </c>
      <c r="Y104" s="11"/>
      <c r="Z104" s="11" t="s">
        <v>1059</v>
      </c>
      <c r="AA104" s="11"/>
      <c r="AB104" s="11"/>
      <c r="AC104" s="11"/>
      <c r="AD104" s="11"/>
      <c r="AE104" s="11"/>
      <c r="AF104" s="11"/>
      <c r="AG104" s="11" t="s">
        <v>1060</v>
      </c>
    </row>
  </sheetData>
  <mergeCells count="7">
    <mergeCell ref="A1:AG1"/>
    <mergeCell ref="C3:E3"/>
    <mergeCell ref="F3:O3"/>
    <mergeCell ref="P3:T3"/>
    <mergeCell ref="U3:Y3"/>
    <mergeCell ref="Z3:AD3"/>
    <mergeCell ref="AE3:A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603D-545C-4FCF-BD33-6416238E7D51}">
  <dimension ref="A2:AX33"/>
  <sheetViews>
    <sheetView topLeftCell="A11" zoomScale="50" zoomScaleNormal="50" workbookViewId="0">
      <selection activeCell="G41" sqref="G41"/>
    </sheetView>
  </sheetViews>
  <sheetFormatPr baseColWidth="10" defaultRowHeight="15" x14ac:dyDescent="0.25"/>
  <cols>
    <col min="1" max="1" width="31" bestFit="1" customWidth="1"/>
    <col min="2" max="2" width="14" bestFit="1" customWidth="1"/>
    <col min="4" max="4" width="2.140625" bestFit="1" customWidth="1"/>
    <col min="6" max="6" width="31.85546875" bestFit="1" customWidth="1"/>
    <col min="7" max="7" width="16.28515625" bestFit="1" customWidth="1"/>
    <col min="9" max="9" width="2.140625" bestFit="1" customWidth="1"/>
    <col min="11" max="11" width="17.7109375" customWidth="1"/>
    <col min="12" max="12" width="17.42578125" customWidth="1"/>
    <col min="15" max="15" width="2.140625" bestFit="1" customWidth="1"/>
    <col min="17" max="17" width="31" customWidth="1"/>
    <col min="18" max="18" width="16.28515625" bestFit="1" customWidth="1"/>
    <col min="21" max="21" width="2.140625" bestFit="1" customWidth="1"/>
    <col min="23" max="23" width="29.28515625" customWidth="1"/>
    <col min="24" max="24" width="19.42578125" customWidth="1"/>
    <col min="27" max="27" width="2.140625" bestFit="1" customWidth="1"/>
    <col min="30" max="30" width="20.140625" customWidth="1"/>
    <col min="31" max="31" width="18.5703125" customWidth="1"/>
    <col min="35" max="35" width="2.140625" bestFit="1" customWidth="1"/>
    <col min="37" max="37" width="15.7109375" customWidth="1"/>
    <col min="38" max="38" width="16.7109375" customWidth="1"/>
    <col min="41" max="41" width="2.140625" bestFit="1" customWidth="1"/>
    <col min="43" max="43" width="35.42578125" customWidth="1"/>
    <col min="44" max="44" width="15.28515625" customWidth="1"/>
    <col min="47" max="47" width="2.140625" bestFit="1" customWidth="1"/>
    <col min="49" max="49" width="21.5703125" customWidth="1"/>
    <col min="50" max="50" width="23.7109375" customWidth="1"/>
  </cols>
  <sheetData>
    <row r="2" spans="1:50" ht="27.75" customHeight="1" x14ac:dyDescent="0.4">
      <c r="A2" s="33" t="s">
        <v>1096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4" spans="1:50" x14ac:dyDescent="0.25">
      <c r="D4" s="31" t="s">
        <v>1095</v>
      </c>
      <c r="I4" s="31" t="s">
        <v>1095</v>
      </c>
      <c r="O4" s="31" t="s">
        <v>1095</v>
      </c>
      <c r="U4" s="31" t="s">
        <v>1095</v>
      </c>
      <c r="AA4" s="31" t="s">
        <v>1095</v>
      </c>
      <c r="AI4" s="31" t="s">
        <v>1095</v>
      </c>
      <c r="AO4" s="31" t="s">
        <v>1095</v>
      </c>
      <c r="AU4" s="31" t="s">
        <v>1095</v>
      </c>
    </row>
    <row r="5" spans="1:50" ht="15.75" x14ac:dyDescent="0.25">
      <c r="A5" s="17" t="s">
        <v>1062</v>
      </c>
      <c r="D5" s="31"/>
      <c r="F5" s="17" t="s">
        <v>1065</v>
      </c>
      <c r="I5" s="31"/>
      <c r="K5" s="23" t="s">
        <v>1066</v>
      </c>
      <c r="L5" s="23"/>
      <c r="O5" s="31"/>
      <c r="Q5" s="23" t="s">
        <v>1069</v>
      </c>
      <c r="R5" s="23"/>
      <c r="U5" s="31"/>
      <c r="W5" s="17" t="s">
        <v>1070</v>
      </c>
      <c r="AA5" s="31"/>
      <c r="AD5" s="17" t="s">
        <v>1075</v>
      </c>
      <c r="AI5" s="31"/>
      <c r="AK5" s="17" t="s">
        <v>1076</v>
      </c>
      <c r="AO5" s="31"/>
      <c r="AQ5" s="17" t="s">
        <v>1077</v>
      </c>
      <c r="AU5" s="31"/>
      <c r="AW5" s="17" t="s">
        <v>1081</v>
      </c>
    </row>
    <row r="6" spans="1:50" x14ac:dyDescent="0.25">
      <c r="A6" s="18" t="s">
        <v>336</v>
      </c>
      <c r="B6" s="18" t="s">
        <v>1063</v>
      </c>
      <c r="D6" s="31"/>
      <c r="F6" s="18" t="s">
        <v>338</v>
      </c>
      <c r="G6" s="18" t="s">
        <v>1063</v>
      </c>
      <c r="I6" s="31"/>
      <c r="K6" s="18" t="s">
        <v>1067</v>
      </c>
      <c r="L6" s="18" t="s">
        <v>1063</v>
      </c>
      <c r="O6" s="31"/>
      <c r="Q6" s="18" t="s">
        <v>1067</v>
      </c>
      <c r="R6" s="18" t="s">
        <v>1063</v>
      </c>
      <c r="U6" s="31"/>
      <c r="W6" s="18" t="s">
        <v>5</v>
      </c>
      <c r="X6" s="18" t="s">
        <v>1063</v>
      </c>
      <c r="AA6" s="31"/>
      <c r="AD6" s="18" t="s">
        <v>337</v>
      </c>
      <c r="AE6" s="18" t="s">
        <v>1063</v>
      </c>
      <c r="AI6" s="31"/>
      <c r="AK6" s="18" t="s">
        <v>337</v>
      </c>
      <c r="AL6" s="18" t="s">
        <v>1063</v>
      </c>
      <c r="AO6" s="31"/>
      <c r="AQ6" s="18" t="s">
        <v>1078</v>
      </c>
      <c r="AR6" s="18" t="s">
        <v>1079</v>
      </c>
      <c r="AU6" s="31"/>
      <c r="AW6" s="18" t="s">
        <v>336</v>
      </c>
      <c r="AX6" s="18" t="s">
        <v>1082</v>
      </c>
    </row>
    <row r="7" spans="1:50" x14ac:dyDescent="0.25">
      <c r="A7" s="19" t="s">
        <v>365</v>
      </c>
      <c r="B7" s="20">
        <f>COUNTIF([1]Datos_Pacientes!$D$2:$D$101,A7)</f>
        <v>69</v>
      </c>
      <c r="D7" s="31"/>
      <c r="F7" s="19" t="s">
        <v>386</v>
      </c>
      <c r="G7" s="22">
        <f>COUNTIF([1]Datos_Pacientes!$F$2:$F$101,F7)</f>
        <v>56</v>
      </c>
      <c r="I7" s="31"/>
      <c r="K7" s="19" t="s">
        <v>1068</v>
      </c>
      <c r="L7" s="22">
        <f>COUNTIF([1]Datos_Pacientes!$M$2:$M$101,K7)</f>
        <v>17</v>
      </c>
      <c r="O7" s="31"/>
      <c r="Q7" s="19" t="s">
        <v>1068</v>
      </c>
      <c r="R7" s="22">
        <f>COUNTIF([1]Datos_Pacientes!$N$2:$N$101,Q7)</f>
        <v>32</v>
      </c>
      <c r="U7" s="31"/>
      <c r="W7" s="19" t="s">
        <v>1071</v>
      </c>
      <c r="X7" s="22">
        <f>COUNTIF([1]Datos_Pacientes!$I$2:$I$101,W7)</f>
        <v>41</v>
      </c>
      <c r="AA7" s="31"/>
      <c r="AD7" s="19" t="s">
        <v>395</v>
      </c>
      <c r="AE7" s="22">
        <f>COUNTIFS([1]Datos_Pacientes!$D$2:$D$101,"Canino",[1]Datos_Pacientes!$E$2:$E$101,AD7)</f>
        <v>37</v>
      </c>
      <c r="AI7" s="31"/>
      <c r="AK7" s="19" t="s">
        <v>395</v>
      </c>
      <c r="AL7" s="22">
        <f>COUNTIFS([1]Datos_Pacientes!$D$2:$D$101,"Felino",[1]Datos_Pacientes!$E$2:$E$101,AK7)</f>
        <v>25</v>
      </c>
      <c r="AO7" s="31"/>
      <c r="AQ7" s="19" t="s">
        <v>407</v>
      </c>
      <c r="AR7" s="22">
        <f>COUNTIF([1]Datos_Pacientes!$P$2:$P$101,AQ7)</f>
        <v>5</v>
      </c>
      <c r="AU7" s="31"/>
      <c r="AW7" s="19" t="s">
        <v>365</v>
      </c>
      <c r="AX7" s="22">
        <f>ROUND(AVERAGEIFS([1]Datos_Pacientes!$L$2:$L$101,[1]Datos_Pacientes!$D$2:$D$101,AW7),2)</f>
        <v>5.97</v>
      </c>
    </row>
    <row r="8" spans="1:50" x14ac:dyDescent="0.25">
      <c r="A8" s="19" t="s">
        <v>412</v>
      </c>
      <c r="B8" s="20">
        <f>COUNTIF([1]Datos_Pacientes!$D$2:$D$101,A8)</f>
        <v>29</v>
      </c>
      <c r="D8" s="31"/>
      <c r="F8" s="19" t="s">
        <v>367</v>
      </c>
      <c r="G8" s="22">
        <f>COUNTIF([1]Datos_Pacientes!$F$2:$F$101,F8)</f>
        <v>44</v>
      </c>
      <c r="I8" s="31"/>
      <c r="K8" s="19" t="s">
        <v>371</v>
      </c>
      <c r="L8" s="22">
        <f>COUNTIF([1]Datos_Pacientes!$M$2:$M$101,K8)</f>
        <v>82</v>
      </c>
      <c r="O8" s="31"/>
      <c r="Q8" s="19" t="s">
        <v>371</v>
      </c>
      <c r="R8" s="22">
        <f>COUNTIF([1]Datos_Pacientes!$N$2:$N$101,Q8)</f>
        <v>67</v>
      </c>
      <c r="U8" s="31"/>
      <c r="W8" s="19" t="s">
        <v>1072</v>
      </c>
      <c r="X8" s="22">
        <f>COUNTIF([1]Datos_Pacientes!$I$2:$I$101,W8)</f>
        <v>18</v>
      </c>
      <c r="AA8" s="31"/>
      <c r="AD8" s="19" t="s">
        <v>366</v>
      </c>
      <c r="AE8" s="22">
        <f>COUNTIFS([1]Datos_Pacientes!$D$2:$D$101,"Canino",[1]Datos_Pacientes!$E$2:$E$101,AD8)</f>
        <v>6</v>
      </c>
      <c r="AI8" s="31"/>
      <c r="AK8" s="19" t="s">
        <v>541</v>
      </c>
      <c r="AL8" s="22">
        <f>COUNTIFS([1]Datos_Pacientes!$D$2:$D$101,"Felino",[1]Datos_Pacientes!$E$2:$E$101,AK8)</f>
        <v>2</v>
      </c>
      <c r="AO8" s="31"/>
      <c r="AQ8" s="19" t="s">
        <v>761</v>
      </c>
      <c r="AR8" s="22">
        <f>COUNTIF([1]Datos_Pacientes!$P$2:$P$101,AQ8)</f>
        <v>5</v>
      </c>
      <c r="AU8" s="31"/>
      <c r="AW8" s="19" t="s">
        <v>412</v>
      </c>
      <c r="AX8" s="22">
        <f>ROUND(AVERAGEIFS([1]Datos_Pacientes!$L$2:$L$101,[1]Datos_Pacientes!$D$2:$D$101,AW8),2)</f>
        <v>3.36</v>
      </c>
    </row>
    <row r="9" spans="1:50" x14ac:dyDescent="0.25">
      <c r="A9" s="19" t="s">
        <v>512</v>
      </c>
      <c r="B9" s="20">
        <f>COUNTIF([1]Datos_Pacientes!$D$2:$D$101,A9)</f>
        <v>1</v>
      </c>
      <c r="D9" s="31"/>
      <c r="I9" s="31"/>
      <c r="K9" s="19" t="s">
        <v>571</v>
      </c>
      <c r="L9" s="22">
        <f>COUNTIF([1]Datos_Pacientes!$M$2:$M$101,K9)</f>
        <v>1</v>
      </c>
      <c r="O9" s="31"/>
      <c r="U9" s="31"/>
      <c r="W9" s="19" t="s">
        <v>1073</v>
      </c>
      <c r="X9" s="22">
        <f>COUNTIF([1]Datos_Pacientes!$I$2:$I$101,W9)</f>
        <v>38</v>
      </c>
      <c r="AA9" s="31"/>
      <c r="AD9" s="19" t="s">
        <v>385</v>
      </c>
      <c r="AE9" s="22">
        <f>COUNTIFS([1]Datos_Pacientes!$D$2:$D$101,"Canino",[1]Datos_Pacientes!$E$2:$E$101,AD9)</f>
        <v>4</v>
      </c>
      <c r="AI9" s="31"/>
      <c r="AK9" s="19" t="s">
        <v>675</v>
      </c>
      <c r="AL9" s="22">
        <f>COUNTIFS([1]Datos_Pacientes!$D$2:$D$101,"Felino",[1]Datos_Pacientes!$E$2:$E$101,AK9)</f>
        <v>1</v>
      </c>
      <c r="AO9" s="31"/>
      <c r="AQ9" s="19" t="s">
        <v>479</v>
      </c>
      <c r="AR9" s="22">
        <f>COUNTIF([1]Datos_Pacientes!$P$2:$P$101,AQ9)</f>
        <v>4</v>
      </c>
      <c r="AU9" s="31"/>
    </row>
    <row r="10" spans="1:50" x14ac:dyDescent="0.25">
      <c r="A10" s="19" t="s">
        <v>687</v>
      </c>
      <c r="B10" s="20">
        <f>COUNTIF([1]Datos_Pacientes!$D$2:$D$101,A10)</f>
        <v>1</v>
      </c>
      <c r="D10" s="31"/>
      <c r="I10" s="31"/>
      <c r="O10" s="31"/>
      <c r="U10" s="31"/>
      <c r="W10" s="19" t="s">
        <v>1074</v>
      </c>
      <c r="X10" s="22">
        <f>COUNTIF([1]Datos_Pacientes!$I$2:$I$101,W10)</f>
        <v>2</v>
      </c>
      <c r="AA10" s="31"/>
      <c r="AD10" s="19" t="s">
        <v>561</v>
      </c>
      <c r="AE10" s="22">
        <f>COUNTIFS([1]Datos_Pacientes!$D$2:$D$101,"Canino",[1]Datos_Pacientes!$E$2:$E$101,AD10)</f>
        <v>3</v>
      </c>
      <c r="AI10" s="31"/>
      <c r="AK10" s="19" t="s">
        <v>697</v>
      </c>
      <c r="AL10" s="22">
        <f>COUNTIFS([1]Datos_Pacientes!$D$2:$D$101,"Felino",[1]Datos_Pacientes!$E$2:$E$101,AK10)</f>
        <v>1</v>
      </c>
      <c r="AO10" s="31"/>
      <c r="AQ10" s="19" t="s">
        <v>480</v>
      </c>
      <c r="AR10" s="22">
        <f>COUNTIF([1]Datos_Pacientes!$P$2:$P$101,AQ10)</f>
        <v>3</v>
      </c>
      <c r="AU10" s="31"/>
    </row>
    <row r="11" spans="1:50" x14ac:dyDescent="0.25">
      <c r="A11" s="21" t="s">
        <v>1064</v>
      </c>
      <c r="B11" s="21">
        <f>SUM(B7:B10)</f>
        <v>100</v>
      </c>
      <c r="D11" s="31"/>
      <c r="I11" s="31"/>
      <c r="O11" s="31"/>
      <c r="U11" s="31"/>
      <c r="AA11" s="31"/>
      <c r="AD11" s="19" t="s">
        <v>581</v>
      </c>
      <c r="AE11" s="22">
        <f>COUNTIFS([1]Datos_Pacientes!$D$2:$D$101,"Canino",[1]Datos_Pacientes!$E$2:$E$101,AD11)</f>
        <v>3</v>
      </c>
      <c r="AI11" s="31"/>
      <c r="AO11" s="31"/>
      <c r="AQ11" s="19" t="s">
        <v>416</v>
      </c>
      <c r="AR11" s="22">
        <f>COUNTIF([1]Datos_Pacientes!$P$2:$P$101,AQ11)</f>
        <v>2</v>
      </c>
      <c r="AU11" s="31"/>
    </row>
    <row r="12" spans="1:50" x14ac:dyDescent="0.25">
      <c r="D12" s="31"/>
      <c r="I12" s="31"/>
      <c r="O12" s="31"/>
      <c r="U12" s="31"/>
      <c r="AA12" s="31"/>
      <c r="AD12" s="19" t="s">
        <v>647</v>
      </c>
      <c r="AE12" s="22">
        <f>COUNTIFS([1]Datos_Pacientes!$D$2:$D$101,"Canino",[1]Datos_Pacientes!$E$2:$E$101,AD12)</f>
        <v>3</v>
      </c>
      <c r="AI12" s="31"/>
      <c r="AO12" s="31"/>
      <c r="AQ12" s="19" t="s">
        <v>1080</v>
      </c>
      <c r="AR12" s="22">
        <f>COUNTIF([1]Datos_Pacientes!$P$2:$P$101,AQ12)</f>
        <v>1</v>
      </c>
      <c r="AU12" s="31"/>
    </row>
    <row r="13" spans="1:50" x14ac:dyDescent="0.25">
      <c r="D13" s="31"/>
      <c r="I13" s="31"/>
      <c r="O13" s="31"/>
      <c r="U13" s="31"/>
      <c r="AA13" s="31"/>
      <c r="AD13" s="19" t="s">
        <v>464</v>
      </c>
      <c r="AE13" s="22">
        <f>COUNTIFS([1]Datos_Pacientes!$D$2:$D$101,"Canino",[1]Datos_Pacientes!$E$2:$E$101,AD13)</f>
        <v>2</v>
      </c>
      <c r="AI13" s="31"/>
      <c r="AO13" s="31"/>
      <c r="AQ13" s="19" t="s">
        <v>565</v>
      </c>
      <c r="AR13" s="22">
        <f>COUNTIF([1]Datos_Pacientes!$P$2:$P$101,AQ13)</f>
        <v>1</v>
      </c>
      <c r="AU13" s="31"/>
    </row>
    <row r="14" spans="1:50" x14ac:dyDescent="0.25">
      <c r="D14" s="31"/>
      <c r="I14" s="31"/>
      <c r="O14" s="31"/>
      <c r="U14" s="31"/>
      <c r="AA14" s="31"/>
      <c r="AD14" s="19" t="s">
        <v>629</v>
      </c>
      <c r="AE14" s="22">
        <f>COUNTIFS([1]Datos_Pacientes!$D$2:$D$101,"Canino",[1]Datos_Pacientes!$E$2:$E$101,AD14)</f>
        <v>2</v>
      </c>
      <c r="AI14" s="31"/>
      <c r="AO14" s="31"/>
      <c r="AQ14" s="19" t="s">
        <v>585</v>
      </c>
      <c r="AR14" s="22">
        <f>COUNTIF([1]Datos_Pacientes!$P$2:$P$101,AQ14)</f>
        <v>1</v>
      </c>
      <c r="AU14" s="31"/>
    </row>
    <row r="15" spans="1:50" x14ac:dyDescent="0.25">
      <c r="D15" s="31"/>
      <c r="I15" s="31"/>
      <c r="O15" s="31"/>
      <c r="U15" s="31"/>
      <c r="AA15" s="31"/>
      <c r="AI15" s="31"/>
      <c r="AO15" s="31"/>
      <c r="AU15" s="31"/>
    </row>
    <row r="16" spans="1:50" x14ac:dyDescent="0.25">
      <c r="D16" s="31"/>
      <c r="I16" s="31"/>
      <c r="O16" s="31"/>
      <c r="U16" s="31"/>
      <c r="AA16" s="31"/>
      <c r="AI16" s="31"/>
      <c r="AO16" s="31"/>
      <c r="AU16" s="31"/>
    </row>
    <row r="17" spans="4:47" x14ac:dyDescent="0.25">
      <c r="D17" s="31"/>
      <c r="I17" s="31"/>
      <c r="O17" s="31"/>
      <c r="U17" s="31"/>
      <c r="AA17" s="31"/>
      <c r="AI17" s="31"/>
      <c r="AO17" s="31"/>
      <c r="AU17" s="31"/>
    </row>
    <row r="18" spans="4:47" x14ac:dyDescent="0.25">
      <c r="D18" s="31"/>
      <c r="I18" s="31"/>
      <c r="O18" s="31"/>
      <c r="U18" s="31"/>
      <c r="AA18" s="31"/>
      <c r="AI18" s="31"/>
      <c r="AO18" s="31"/>
      <c r="AU18" s="31"/>
    </row>
    <row r="19" spans="4:47" x14ac:dyDescent="0.25">
      <c r="D19" s="31"/>
      <c r="I19" s="31"/>
      <c r="O19" s="31"/>
      <c r="U19" s="31"/>
      <c r="AA19" s="31"/>
      <c r="AI19" s="31"/>
      <c r="AO19" s="31"/>
      <c r="AU19" s="31"/>
    </row>
    <row r="20" spans="4:47" x14ac:dyDescent="0.25">
      <c r="D20" s="31"/>
      <c r="I20" s="31"/>
      <c r="O20" s="31"/>
      <c r="U20" s="31"/>
      <c r="AA20" s="31"/>
      <c r="AI20" s="31"/>
      <c r="AO20" s="31"/>
      <c r="AU20" s="31"/>
    </row>
    <row r="21" spans="4:47" x14ac:dyDescent="0.25">
      <c r="D21" s="31"/>
      <c r="I21" s="31"/>
      <c r="O21" s="31"/>
      <c r="U21" s="31"/>
      <c r="AA21" s="31"/>
      <c r="AI21" s="31"/>
      <c r="AO21" s="31"/>
      <c r="AU21" s="31"/>
    </row>
    <row r="22" spans="4:47" x14ac:dyDescent="0.25">
      <c r="D22" s="31"/>
      <c r="I22" s="31"/>
      <c r="O22" s="31"/>
      <c r="U22" s="31"/>
      <c r="AA22" s="31"/>
      <c r="AI22" s="31"/>
      <c r="AO22" s="31"/>
      <c r="AU22" s="31"/>
    </row>
    <row r="23" spans="4:47" x14ac:dyDescent="0.25">
      <c r="D23" s="31"/>
      <c r="I23" s="31"/>
      <c r="O23" s="31"/>
      <c r="U23" s="31"/>
      <c r="AA23" s="31"/>
      <c r="AI23" s="31"/>
      <c r="AO23" s="31"/>
      <c r="AU23" s="31"/>
    </row>
    <row r="24" spans="4:47" x14ac:dyDescent="0.25">
      <c r="D24" s="31"/>
      <c r="I24" s="31"/>
      <c r="O24" s="31"/>
      <c r="U24" s="31"/>
      <c r="AA24" s="31"/>
      <c r="AI24" s="31"/>
      <c r="AO24" s="31"/>
      <c r="AU24" s="31"/>
    </row>
    <row r="25" spans="4:47" x14ac:dyDescent="0.25">
      <c r="D25" s="31"/>
      <c r="I25" s="31"/>
      <c r="O25" s="31"/>
      <c r="U25" s="31"/>
      <c r="AA25" s="31"/>
      <c r="AI25" s="31"/>
      <c r="AO25" s="31"/>
      <c r="AU25" s="31"/>
    </row>
    <row r="26" spans="4:47" x14ac:dyDescent="0.25">
      <c r="D26" s="31"/>
      <c r="I26" s="31"/>
      <c r="O26" s="31"/>
      <c r="U26" s="31"/>
      <c r="AA26" s="31"/>
      <c r="AI26" s="31"/>
      <c r="AO26" s="31"/>
      <c r="AU26" s="31"/>
    </row>
    <row r="27" spans="4:47" x14ac:dyDescent="0.25">
      <c r="D27" s="31"/>
      <c r="I27" s="31"/>
      <c r="O27" s="31"/>
      <c r="U27" s="31"/>
      <c r="AA27" s="31"/>
      <c r="AI27" s="31"/>
      <c r="AO27" s="31"/>
      <c r="AU27" s="31"/>
    </row>
    <row r="28" spans="4:47" x14ac:dyDescent="0.25">
      <c r="D28" s="31"/>
      <c r="I28" s="31"/>
      <c r="O28" s="31"/>
      <c r="U28" s="31"/>
      <c r="AA28" s="31"/>
      <c r="AI28" s="31"/>
      <c r="AO28" s="31"/>
      <c r="AU28" s="31"/>
    </row>
    <row r="29" spans="4:47" x14ac:dyDescent="0.25">
      <c r="D29" s="31"/>
      <c r="I29" s="31"/>
      <c r="O29" s="31"/>
      <c r="U29" s="31"/>
      <c r="AA29" s="31"/>
      <c r="AI29" s="31"/>
      <c r="AO29" s="31"/>
      <c r="AU29" s="31"/>
    </row>
    <row r="30" spans="4:47" x14ac:dyDescent="0.25">
      <c r="D30" s="31"/>
      <c r="I30" s="31"/>
      <c r="O30" s="31"/>
      <c r="U30" s="31"/>
      <c r="AA30" s="31"/>
      <c r="AI30" s="31"/>
      <c r="AO30" s="31"/>
      <c r="AU30" s="31"/>
    </row>
    <row r="31" spans="4:47" x14ac:dyDescent="0.25">
      <c r="D31" s="31"/>
      <c r="I31" s="31"/>
      <c r="O31" s="31"/>
      <c r="U31" s="31"/>
      <c r="AA31" s="31"/>
      <c r="AI31" s="31"/>
      <c r="AO31" s="31"/>
      <c r="AU31" s="31"/>
    </row>
    <row r="32" spans="4:47" x14ac:dyDescent="0.25">
      <c r="D32" s="31"/>
      <c r="I32" s="31"/>
      <c r="O32" s="31"/>
      <c r="U32" s="31"/>
      <c r="AA32" s="31"/>
      <c r="AI32" s="31"/>
      <c r="AO32" s="31"/>
      <c r="AU32" s="31"/>
    </row>
    <row r="33" spans="4:47" x14ac:dyDescent="0.25">
      <c r="D33" s="31"/>
      <c r="I33" s="31"/>
      <c r="O33" s="31"/>
      <c r="U33" s="31"/>
      <c r="AA33" s="31"/>
      <c r="AI33" s="31"/>
      <c r="AO33" s="31"/>
      <c r="AU33" s="31"/>
    </row>
  </sheetData>
  <mergeCells count="3">
    <mergeCell ref="K5:L5"/>
    <mergeCell ref="Q5:R5"/>
    <mergeCell ref="A2:Z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D2C4-7E21-4523-9415-F91DD5661232}">
  <dimension ref="A1:I554"/>
  <sheetViews>
    <sheetView topLeftCell="A44" workbookViewId="0">
      <selection activeCell="K7" sqref="K7"/>
    </sheetView>
  </sheetViews>
  <sheetFormatPr baseColWidth="10" defaultRowHeight="15" x14ac:dyDescent="0.25"/>
  <cols>
    <col min="1" max="1" width="8" bestFit="1" customWidth="1"/>
    <col min="2" max="2" width="8.28515625" bestFit="1" customWidth="1"/>
    <col min="3" max="3" width="10.7109375" bestFit="1" customWidth="1"/>
    <col min="4" max="4" width="7.5703125" bestFit="1" customWidth="1"/>
    <col min="5" max="5" width="38.140625" bestFit="1" customWidth="1"/>
    <col min="6" max="6" width="10.85546875" bestFit="1" customWidth="1"/>
    <col min="7" max="7" width="22.85546875" bestFit="1" customWidth="1"/>
    <col min="9" max="9" width="15.5703125" bestFit="1" customWidth="1"/>
  </cols>
  <sheetData>
    <row r="1" spans="1:9" ht="21" thickBot="1" x14ac:dyDescent="0.4">
      <c r="A1" s="37" t="s">
        <v>324</v>
      </c>
      <c r="B1" s="35"/>
      <c r="C1" s="35"/>
      <c r="D1" s="35"/>
      <c r="E1" s="35"/>
      <c r="F1" s="35"/>
      <c r="G1" s="35"/>
      <c r="H1" s="35"/>
      <c r="I1" s="36"/>
    </row>
    <row r="2" spans="1:9" x14ac:dyDescent="0.25">
      <c r="F2" s="38"/>
    </row>
    <row r="3" spans="1:9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4</v>
      </c>
      <c r="F3" s="39" t="s">
        <v>5</v>
      </c>
      <c r="G3" s="39" t="s">
        <v>6</v>
      </c>
      <c r="H3" s="39" t="s">
        <v>7</v>
      </c>
      <c r="I3" s="39" t="s">
        <v>8</v>
      </c>
    </row>
    <row r="4" spans="1:9" x14ac:dyDescent="0.25">
      <c r="A4" s="40" t="s">
        <v>9</v>
      </c>
      <c r="B4" s="40">
        <v>1</v>
      </c>
      <c r="C4" s="41">
        <v>46052</v>
      </c>
      <c r="D4" s="40" t="s">
        <v>10</v>
      </c>
      <c r="E4" s="40" t="s">
        <v>11</v>
      </c>
      <c r="F4" s="40" t="s">
        <v>12</v>
      </c>
      <c r="G4" s="40"/>
      <c r="H4" s="42">
        <v>15</v>
      </c>
      <c r="I4" s="40" t="s">
        <v>13</v>
      </c>
    </row>
    <row r="5" spans="1:9" x14ac:dyDescent="0.25">
      <c r="A5" s="40" t="s">
        <v>9</v>
      </c>
      <c r="B5" s="40">
        <v>1</v>
      </c>
      <c r="C5" s="41">
        <v>46052</v>
      </c>
      <c r="D5" s="40" t="s">
        <v>14</v>
      </c>
      <c r="E5" s="40" t="s">
        <v>15</v>
      </c>
      <c r="F5" s="40"/>
      <c r="G5" s="40"/>
      <c r="H5" s="42">
        <v>22.5</v>
      </c>
      <c r="I5" s="40" t="s">
        <v>13</v>
      </c>
    </row>
    <row r="6" spans="1:9" x14ac:dyDescent="0.25">
      <c r="A6" s="40" t="s">
        <v>9</v>
      </c>
      <c r="B6" s="40">
        <v>1</v>
      </c>
      <c r="C6" s="41">
        <v>46052</v>
      </c>
      <c r="D6" s="40" t="s">
        <v>10</v>
      </c>
      <c r="E6" s="40" t="s">
        <v>16</v>
      </c>
      <c r="F6" s="40" t="s">
        <v>12</v>
      </c>
      <c r="G6" s="40"/>
      <c r="H6" s="42">
        <v>5</v>
      </c>
      <c r="I6" s="40" t="s">
        <v>13</v>
      </c>
    </row>
    <row r="7" spans="1:9" x14ac:dyDescent="0.25">
      <c r="A7" s="40" t="s">
        <v>9</v>
      </c>
      <c r="B7" s="40">
        <v>1</v>
      </c>
      <c r="C7" s="41">
        <v>46052</v>
      </c>
      <c r="D7" s="40" t="s">
        <v>10</v>
      </c>
      <c r="E7" s="40" t="s">
        <v>17</v>
      </c>
      <c r="F7" s="40" t="s">
        <v>18</v>
      </c>
      <c r="G7" s="40" t="s">
        <v>19</v>
      </c>
      <c r="H7" s="42">
        <v>20</v>
      </c>
      <c r="I7" s="40" t="s">
        <v>13</v>
      </c>
    </row>
    <row r="8" spans="1:9" x14ac:dyDescent="0.25">
      <c r="A8" s="40" t="s">
        <v>9</v>
      </c>
      <c r="B8" s="40">
        <v>1</v>
      </c>
      <c r="C8" s="41">
        <v>46052</v>
      </c>
      <c r="D8" s="40" t="s">
        <v>10</v>
      </c>
      <c r="E8" s="40" t="s">
        <v>20</v>
      </c>
      <c r="F8" s="40" t="s">
        <v>12</v>
      </c>
      <c r="G8" s="40"/>
      <c r="H8" s="42">
        <v>60</v>
      </c>
      <c r="I8" s="40" t="s">
        <v>21</v>
      </c>
    </row>
    <row r="9" spans="1:9" x14ac:dyDescent="0.25">
      <c r="A9" s="40" t="s">
        <v>9</v>
      </c>
      <c r="B9" s="40">
        <v>1</v>
      </c>
      <c r="C9" s="41">
        <v>46052</v>
      </c>
      <c r="D9" s="40" t="s">
        <v>10</v>
      </c>
      <c r="E9" s="40" t="s">
        <v>22</v>
      </c>
      <c r="F9" s="40" t="s">
        <v>12</v>
      </c>
      <c r="G9" s="40"/>
      <c r="H9" s="42">
        <v>13</v>
      </c>
      <c r="I9" s="40" t="s">
        <v>13</v>
      </c>
    </row>
    <row r="10" spans="1:9" x14ac:dyDescent="0.25">
      <c r="A10" s="40" t="s">
        <v>9</v>
      </c>
      <c r="B10" s="40">
        <v>1</v>
      </c>
      <c r="C10" s="41">
        <v>46052</v>
      </c>
      <c r="D10" s="40" t="s">
        <v>10</v>
      </c>
      <c r="E10" s="40" t="s">
        <v>23</v>
      </c>
      <c r="F10" s="40" t="s">
        <v>18</v>
      </c>
      <c r="G10" s="40" t="s">
        <v>24</v>
      </c>
      <c r="H10" s="42">
        <v>80</v>
      </c>
      <c r="I10" s="40" t="s">
        <v>21</v>
      </c>
    </row>
    <row r="11" spans="1:9" x14ac:dyDescent="0.25">
      <c r="A11" s="40" t="s">
        <v>9</v>
      </c>
      <c r="B11" s="40">
        <v>1</v>
      </c>
      <c r="C11" s="41">
        <v>46053</v>
      </c>
      <c r="D11" s="40" t="s">
        <v>10</v>
      </c>
      <c r="E11" s="40" t="s">
        <v>25</v>
      </c>
      <c r="F11" s="40" t="s">
        <v>12</v>
      </c>
      <c r="G11" s="40"/>
      <c r="H11" s="42">
        <v>50</v>
      </c>
      <c r="I11" s="40" t="s">
        <v>13</v>
      </c>
    </row>
    <row r="12" spans="1:9" x14ac:dyDescent="0.25">
      <c r="A12" s="40" t="s">
        <v>9</v>
      </c>
      <c r="B12" s="40">
        <v>1</v>
      </c>
      <c r="C12" s="41">
        <v>46053</v>
      </c>
      <c r="D12" s="40" t="s">
        <v>10</v>
      </c>
      <c r="E12" s="40" t="s">
        <v>26</v>
      </c>
      <c r="F12" s="40" t="s">
        <v>18</v>
      </c>
      <c r="G12" s="40" t="s">
        <v>26</v>
      </c>
      <c r="H12" s="42">
        <v>45</v>
      </c>
      <c r="I12" s="40" t="s">
        <v>13</v>
      </c>
    </row>
    <row r="13" spans="1:9" x14ac:dyDescent="0.25">
      <c r="A13" s="40" t="s">
        <v>9</v>
      </c>
      <c r="B13" s="40">
        <v>1</v>
      </c>
      <c r="C13" s="41">
        <v>46053</v>
      </c>
      <c r="D13" s="40" t="s">
        <v>14</v>
      </c>
      <c r="E13" s="40" t="s">
        <v>27</v>
      </c>
      <c r="F13" s="40"/>
      <c r="G13" s="40"/>
      <c r="H13" s="42">
        <v>5</v>
      </c>
      <c r="I13" s="40" t="s">
        <v>13</v>
      </c>
    </row>
    <row r="14" spans="1:9" x14ac:dyDescent="0.25">
      <c r="A14" s="40" t="s">
        <v>9</v>
      </c>
      <c r="B14" s="40">
        <v>1</v>
      </c>
      <c r="C14" s="41">
        <v>46053</v>
      </c>
      <c r="D14" s="40" t="s">
        <v>10</v>
      </c>
      <c r="E14" s="40" t="s">
        <v>28</v>
      </c>
      <c r="F14" s="40" t="s">
        <v>12</v>
      </c>
      <c r="G14" s="40"/>
      <c r="H14" s="42">
        <v>9</v>
      </c>
      <c r="I14" s="40" t="s">
        <v>13</v>
      </c>
    </row>
    <row r="15" spans="1:9" x14ac:dyDescent="0.25">
      <c r="A15" s="40" t="s">
        <v>9</v>
      </c>
      <c r="B15" s="40">
        <v>1</v>
      </c>
      <c r="C15" s="41">
        <v>46053</v>
      </c>
      <c r="D15" s="40" t="s">
        <v>10</v>
      </c>
      <c r="E15" s="40" t="s">
        <v>29</v>
      </c>
      <c r="F15" s="40" t="s">
        <v>12</v>
      </c>
      <c r="G15" s="40"/>
      <c r="H15" s="42">
        <v>34</v>
      </c>
      <c r="I15" s="40" t="s">
        <v>21</v>
      </c>
    </row>
    <row r="16" spans="1:9" x14ac:dyDescent="0.25">
      <c r="A16" s="40" t="s">
        <v>9</v>
      </c>
      <c r="B16" s="40">
        <v>1</v>
      </c>
      <c r="C16" s="41">
        <v>46053</v>
      </c>
      <c r="D16" s="40" t="s">
        <v>10</v>
      </c>
      <c r="E16" s="40" t="s">
        <v>30</v>
      </c>
      <c r="F16" s="40" t="s">
        <v>18</v>
      </c>
      <c r="G16" s="40" t="s">
        <v>30</v>
      </c>
      <c r="H16" s="42">
        <v>25</v>
      </c>
      <c r="I16" s="40" t="s">
        <v>13</v>
      </c>
    </row>
    <row r="17" spans="1:9" x14ac:dyDescent="0.25">
      <c r="A17" s="40" t="s">
        <v>9</v>
      </c>
      <c r="B17" s="40">
        <v>1</v>
      </c>
      <c r="C17" s="41">
        <v>46053</v>
      </c>
      <c r="D17" s="40" t="s">
        <v>10</v>
      </c>
      <c r="E17" s="40" t="s">
        <v>31</v>
      </c>
      <c r="F17" s="40" t="s">
        <v>12</v>
      </c>
      <c r="G17" s="40"/>
      <c r="H17" s="42">
        <v>10</v>
      </c>
      <c r="I17" s="40" t="s">
        <v>13</v>
      </c>
    </row>
    <row r="18" spans="1:9" x14ac:dyDescent="0.25">
      <c r="A18" s="40" t="s">
        <v>9</v>
      </c>
      <c r="B18" s="40">
        <v>1</v>
      </c>
      <c r="C18" s="41">
        <v>46053</v>
      </c>
      <c r="D18" s="40" t="s">
        <v>10</v>
      </c>
      <c r="E18" s="40" t="s">
        <v>30</v>
      </c>
      <c r="F18" s="40" t="s">
        <v>18</v>
      </c>
      <c r="G18" s="40" t="s">
        <v>30</v>
      </c>
      <c r="H18" s="42">
        <v>25</v>
      </c>
      <c r="I18" s="40" t="s">
        <v>13</v>
      </c>
    </row>
    <row r="19" spans="1:9" x14ac:dyDescent="0.25">
      <c r="A19" s="40" t="s">
        <v>9</v>
      </c>
      <c r="B19" s="40">
        <v>1</v>
      </c>
      <c r="C19" s="41">
        <v>46053</v>
      </c>
      <c r="D19" s="40" t="s">
        <v>10</v>
      </c>
      <c r="E19" s="40" t="s">
        <v>32</v>
      </c>
      <c r="F19" s="40" t="s">
        <v>12</v>
      </c>
      <c r="G19" s="40"/>
      <c r="H19" s="42">
        <v>20</v>
      </c>
      <c r="I19" s="40" t="s">
        <v>13</v>
      </c>
    </row>
    <row r="20" spans="1:9" x14ac:dyDescent="0.25">
      <c r="A20" s="40" t="s">
        <v>9</v>
      </c>
      <c r="B20" s="40">
        <v>1</v>
      </c>
      <c r="C20" s="41">
        <v>46053</v>
      </c>
      <c r="D20" s="40" t="s">
        <v>10</v>
      </c>
      <c r="E20" s="40" t="s">
        <v>33</v>
      </c>
      <c r="F20" s="40" t="s">
        <v>12</v>
      </c>
      <c r="G20" s="40"/>
      <c r="H20" s="42">
        <v>20</v>
      </c>
      <c r="I20" s="40" t="s">
        <v>13</v>
      </c>
    </row>
    <row r="21" spans="1:9" x14ac:dyDescent="0.25">
      <c r="A21" s="40" t="s">
        <v>9</v>
      </c>
      <c r="B21" s="40">
        <v>1</v>
      </c>
      <c r="C21" s="41">
        <v>46053</v>
      </c>
      <c r="D21" s="40" t="s">
        <v>10</v>
      </c>
      <c r="E21" s="40" t="s">
        <v>34</v>
      </c>
      <c r="F21" s="40" t="s">
        <v>12</v>
      </c>
      <c r="G21" s="40"/>
      <c r="H21" s="42">
        <v>5</v>
      </c>
      <c r="I21" s="40" t="s">
        <v>13</v>
      </c>
    </row>
    <row r="22" spans="1:9" x14ac:dyDescent="0.25">
      <c r="A22" s="40" t="s">
        <v>9</v>
      </c>
      <c r="B22" s="40">
        <v>1</v>
      </c>
      <c r="C22" s="41">
        <v>46053</v>
      </c>
      <c r="D22" s="40" t="s">
        <v>10</v>
      </c>
      <c r="E22" s="40" t="s">
        <v>35</v>
      </c>
      <c r="F22" s="40" t="s">
        <v>12</v>
      </c>
      <c r="G22" s="40"/>
      <c r="H22" s="42">
        <v>18</v>
      </c>
      <c r="I22" s="40" t="s">
        <v>13</v>
      </c>
    </row>
    <row r="23" spans="1:9" x14ac:dyDescent="0.25">
      <c r="A23" s="40" t="s">
        <v>9</v>
      </c>
      <c r="B23" s="40">
        <v>1</v>
      </c>
      <c r="C23" s="41">
        <v>46053</v>
      </c>
      <c r="D23" s="40" t="s">
        <v>10</v>
      </c>
      <c r="E23" s="40" t="s">
        <v>36</v>
      </c>
      <c r="F23" s="40" t="s">
        <v>12</v>
      </c>
      <c r="G23" s="40"/>
      <c r="H23" s="42">
        <v>18</v>
      </c>
      <c r="I23" s="40" t="s">
        <v>13</v>
      </c>
    </row>
    <row r="24" spans="1:9" x14ac:dyDescent="0.25">
      <c r="A24" s="40" t="s">
        <v>9</v>
      </c>
      <c r="B24" s="40">
        <v>1</v>
      </c>
      <c r="C24" s="41">
        <v>46053</v>
      </c>
      <c r="D24" s="40" t="s">
        <v>10</v>
      </c>
      <c r="E24" s="40" t="s">
        <v>36</v>
      </c>
      <c r="F24" s="40" t="s">
        <v>12</v>
      </c>
      <c r="G24" s="40"/>
      <c r="H24" s="42">
        <v>118</v>
      </c>
      <c r="I24" s="40" t="s">
        <v>13</v>
      </c>
    </row>
    <row r="25" spans="1:9" x14ac:dyDescent="0.25">
      <c r="A25" s="40" t="s">
        <v>37</v>
      </c>
      <c r="B25" s="40">
        <v>2</v>
      </c>
      <c r="C25" s="41">
        <v>46054</v>
      </c>
      <c r="D25" s="40" t="s">
        <v>10</v>
      </c>
      <c r="E25" s="40" t="s">
        <v>38</v>
      </c>
      <c r="F25" s="40" t="s">
        <v>12</v>
      </c>
      <c r="G25" s="40"/>
      <c r="H25" s="42">
        <v>11</v>
      </c>
      <c r="I25" s="40" t="s">
        <v>13</v>
      </c>
    </row>
    <row r="26" spans="1:9" x14ac:dyDescent="0.25">
      <c r="A26" s="40" t="s">
        <v>37</v>
      </c>
      <c r="B26" s="40">
        <v>2</v>
      </c>
      <c r="C26" s="41">
        <v>46054</v>
      </c>
      <c r="D26" s="40" t="s">
        <v>10</v>
      </c>
      <c r="E26" s="40" t="s">
        <v>39</v>
      </c>
      <c r="F26" s="40" t="s">
        <v>12</v>
      </c>
      <c r="G26" s="40"/>
      <c r="H26" s="42">
        <v>25</v>
      </c>
      <c r="I26" s="40" t="s">
        <v>13</v>
      </c>
    </row>
    <row r="27" spans="1:9" x14ac:dyDescent="0.25">
      <c r="A27" s="40" t="s">
        <v>37</v>
      </c>
      <c r="B27" s="40">
        <v>2</v>
      </c>
      <c r="C27" s="41">
        <v>46054</v>
      </c>
      <c r="D27" s="40" t="s">
        <v>10</v>
      </c>
      <c r="E27" s="40" t="s">
        <v>40</v>
      </c>
      <c r="F27" s="40" t="s">
        <v>12</v>
      </c>
      <c r="G27" s="40"/>
      <c r="H27" s="42">
        <v>10</v>
      </c>
      <c r="I27" s="40" t="s">
        <v>13</v>
      </c>
    </row>
    <row r="28" spans="1:9" x14ac:dyDescent="0.25">
      <c r="A28" s="40" t="s">
        <v>37</v>
      </c>
      <c r="B28" s="40">
        <v>2</v>
      </c>
      <c r="C28" s="41">
        <v>46054</v>
      </c>
      <c r="D28" s="40" t="s">
        <v>10</v>
      </c>
      <c r="E28" s="40" t="s">
        <v>38</v>
      </c>
      <c r="F28" s="40" t="s">
        <v>12</v>
      </c>
      <c r="G28" s="40"/>
      <c r="H28" s="42">
        <v>8</v>
      </c>
      <c r="I28" s="40" t="s">
        <v>13</v>
      </c>
    </row>
    <row r="29" spans="1:9" x14ac:dyDescent="0.25">
      <c r="A29" s="40" t="s">
        <v>37</v>
      </c>
      <c r="B29" s="40">
        <v>2</v>
      </c>
      <c r="C29" s="41">
        <v>46054</v>
      </c>
      <c r="D29" s="40" t="s">
        <v>10</v>
      </c>
      <c r="E29" s="40" t="s">
        <v>41</v>
      </c>
      <c r="F29" s="40" t="s">
        <v>12</v>
      </c>
      <c r="G29" s="40"/>
      <c r="H29" s="42">
        <v>5</v>
      </c>
      <c r="I29" s="40" t="s">
        <v>13</v>
      </c>
    </row>
    <row r="30" spans="1:9" x14ac:dyDescent="0.25">
      <c r="A30" s="40" t="s">
        <v>37</v>
      </c>
      <c r="B30" s="40">
        <v>2</v>
      </c>
      <c r="C30" s="41">
        <v>46054</v>
      </c>
      <c r="D30" s="40" t="s">
        <v>10</v>
      </c>
      <c r="E30" s="40" t="s">
        <v>42</v>
      </c>
      <c r="F30" s="40" t="s">
        <v>12</v>
      </c>
      <c r="G30" s="40"/>
      <c r="H30" s="42">
        <v>4.5</v>
      </c>
      <c r="I30" s="40" t="s">
        <v>13</v>
      </c>
    </row>
    <row r="31" spans="1:9" x14ac:dyDescent="0.25">
      <c r="A31" s="40" t="s">
        <v>37</v>
      </c>
      <c r="B31" s="40">
        <v>2</v>
      </c>
      <c r="C31" s="41">
        <v>46054</v>
      </c>
      <c r="D31" s="40" t="s">
        <v>10</v>
      </c>
      <c r="E31" s="40" t="s">
        <v>43</v>
      </c>
      <c r="F31" s="40" t="s">
        <v>12</v>
      </c>
      <c r="G31" s="40"/>
      <c r="H31" s="42">
        <v>10</v>
      </c>
      <c r="I31" s="40" t="s">
        <v>13</v>
      </c>
    </row>
    <row r="32" spans="1:9" x14ac:dyDescent="0.25">
      <c r="A32" s="40" t="s">
        <v>37</v>
      </c>
      <c r="B32" s="40">
        <v>2</v>
      </c>
      <c r="C32" s="41">
        <v>46054</v>
      </c>
      <c r="D32" s="40" t="s">
        <v>10</v>
      </c>
      <c r="E32" s="40" t="s">
        <v>26</v>
      </c>
      <c r="F32" s="40" t="s">
        <v>18</v>
      </c>
      <c r="G32" s="40" t="s">
        <v>26</v>
      </c>
      <c r="H32" s="42">
        <v>35</v>
      </c>
      <c r="I32" s="40" t="s">
        <v>13</v>
      </c>
    </row>
    <row r="33" spans="1:9" x14ac:dyDescent="0.25">
      <c r="A33" s="40" t="s">
        <v>37</v>
      </c>
      <c r="B33" s="40">
        <v>2</v>
      </c>
      <c r="C33" s="41">
        <v>46054</v>
      </c>
      <c r="D33" s="40" t="s">
        <v>10</v>
      </c>
      <c r="E33" s="40" t="s">
        <v>24</v>
      </c>
      <c r="F33" s="40" t="s">
        <v>18</v>
      </c>
      <c r="G33" s="40" t="s">
        <v>24</v>
      </c>
      <c r="H33" s="42">
        <v>50</v>
      </c>
      <c r="I33" s="40" t="s">
        <v>21</v>
      </c>
    </row>
    <row r="34" spans="1:9" x14ac:dyDescent="0.25">
      <c r="A34" s="40" t="s">
        <v>37</v>
      </c>
      <c r="B34" s="40">
        <v>2</v>
      </c>
      <c r="C34" s="41">
        <v>46054</v>
      </c>
      <c r="D34" s="40" t="s">
        <v>10</v>
      </c>
      <c r="E34" s="40" t="s">
        <v>44</v>
      </c>
      <c r="F34" s="40" t="s">
        <v>12</v>
      </c>
      <c r="G34" s="40"/>
      <c r="H34" s="42">
        <v>5</v>
      </c>
      <c r="I34" s="40" t="s">
        <v>13</v>
      </c>
    </row>
    <row r="35" spans="1:9" x14ac:dyDescent="0.25">
      <c r="A35" s="40" t="s">
        <v>37</v>
      </c>
      <c r="B35" s="40">
        <v>2</v>
      </c>
      <c r="C35" s="41">
        <v>46054</v>
      </c>
      <c r="D35" s="40" t="s">
        <v>10</v>
      </c>
      <c r="E35" s="40" t="s">
        <v>45</v>
      </c>
      <c r="F35" s="40" t="s">
        <v>12</v>
      </c>
      <c r="G35" s="40"/>
      <c r="H35" s="42">
        <v>25</v>
      </c>
      <c r="I35" s="40" t="s">
        <v>13</v>
      </c>
    </row>
    <row r="36" spans="1:9" x14ac:dyDescent="0.25">
      <c r="A36" s="40" t="s">
        <v>37</v>
      </c>
      <c r="B36" s="40">
        <v>2</v>
      </c>
      <c r="C36" s="41">
        <v>46055</v>
      </c>
      <c r="D36" s="40" t="s">
        <v>10</v>
      </c>
      <c r="E36" s="40" t="s">
        <v>46</v>
      </c>
      <c r="F36" s="40" t="s">
        <v>12</v>
      </c>
      <c r="G36" s="40"/>
      <c r="H36" s="42">
        <v>10</v>
      </c>
      <c r="I36" s="40" t="s">
        <v>13</v>
      </c>
    </row>
    <row r="37" spans="1:9" x14ac:dyDescent="0.25">
      <c r="A37" s="40" t="s">
        <v>37</v>
      </c>
      <c r="B37" s="40">
        <v>2</v>
      </c>
      <c r="C37" s="41">
        <v>46055</v>
      </c>
      <c r="D37" s="40" t="s">
        <v>10</v>
      </c>
      <c r="E37" s="40" t="s">
        <v>19</v>
      </c>
      <c r="F37" s="40" t="s">
        <v>18</v>
      </c>
      <c r="G37" s="40" t="s">
        <v>19</v>
      </c>
      <c r="H37" s="42">
        <v>15</v>
      </c>
      <c r="I37" s="40" t="s">
        <v>13</v>
      </c>
    </row>
    <row r="38" spans="1:9" x14ac:dyDescent="0.25">
      <c r="A38" s="40" t="s">
        <v>37</v>
      </c>
      <c r="B38" s="40">
        <v>2</v>
      </c>
      <c r="C38" s="41">
        <v>46055</v>
      </c>
      <c r="D38" s="40" t="s">
        <v>10</v>
      </c>
      <c r="E38" s="40" t="s">
        <v>47</v>
      </c>
      <c r="F38" s="40" t="s">
        <v>12</v>
      </c>
      <c r="G38" s="40"/>
      <c r="H38" s="42">
        <v>10</v>
      </c>
      <c r="I38" s="40" t="s">
        <v>13</v>
      </c>
    </row>
    <row r="39" spans="1:9" x14ac:dyDescent="0.25">
      <c r="A39" s="40" t="s">
        <v>37</v>
      </c>
      <c r="B39" s="40">
        <v>2</v>
      </c>
      <c r="C39" s="41">
        <v>46055</v>
      </c>
      <c r="D39" s="40" t="s">
        <v>10</v>
      </c>
      <c r="E39" s="40" t="s">
        <v>48</v>
      </c>
      <c r="F39" s="40" t="s">
        <v>18</v>
      </c>
      <c r="G39" s="40" t="s">
        <v>26</v>
      </c>
      <c r="H39" s="42">
        <v>360</v>
      </c>
      <c r="I39" s="40" t="s">
        <v>21</v>
      </c>
    </row>
    <row r="40" spans="1:9" x14ac:dyDescent="0.25">
      <c r="A40" s="40" t="s">
        <v>37</v>
      </c>
      <c r="B40" s="40">
        <v>2</v>
      </c>
      <c r="C40" s="41">
        <v>46055</v>
      </c>
      <c r="D40" s="40" t="s">
        <v>10</v>
      </c>
      <c r="E40" s="40" t="s">
        <v>49</v>
      </c>
      <c r="F40" s="40" t="s">
        <v>18</v>
      </c>
      <c r="G40" s="40" t="s">
        <v>24</v>
      </c>
      <c r="H40" s="42">
        <v>40</v>
      </c>
      <c r="I40" s="40" t="s">
        <v>13</v>
      </c>
    </row>
    <row r="41" spans="1:9" x14ac:dyDescent="0.25">
      <c r="A41" s="40" t="s">
        <v>37</v>
      </c>
      <c r="B41" s="40">
        <v>2</v>
      </c>
      <c r="C41" s="41">
        <v>46055</v>
      </c>
      <c r="D41" s="40" t="s">
        <v>10</v>
      </c>
      <c r="E41" s="40" t="s">
        <v>50</v>
      </c>
      <c r="F41" s="40" t="s">
        <v>18</v>
      </c>
      <c r="G41" s="40" t="s">
        <v>19</v>
      </c>
      <c r="H41" s="42">
        <v>35</v>
      </c>
      <c r="I41" s="40" t="s">
        <v>13</v>
      </c>
    </row>
    <row r="42" spans="1:9" x14ac:dyDescent="0.25">
      <c r="A42" s="40" t="s">
        <v>37</v>
      </c>
      <c r="B42" s="40">
        <v>2</v>
      </c>
      <c r="C42" s="41">
        <v>46055</v>
      </c>
      <c r="D42" s="40" t="s">
        <v>10</v>
      </c>
      <c r="E42" s="40" t="s">
        <v>51</v>
      </c>
      <c r="F42" s="40" t="s">
        <v>12</v>
      </c>
      <c r="G42" s="40"/>
      <c r="H42" s="42">
        <v>10</v>
      </c>
      <c r="I42" s="40" t="s">
        <v>13</v>
      </c>
    </row>
    <row r="43" spans="1:9" x14ac:dyDescent="0.25">
      <c r="A43" s="40" t="s">
        <v>37</v>
      </c>
      <c r="B43" s="40">
        <v>2</v>
      </c>
      <c r="C43" s="41">
        <v>46055</v>
      </c>
      <c r="D43" s="40" t="s">
        <v>10</v>
      </c>
      <c r="E43" s="40" t="s">
        <v>52</v>
      </c>
      <c r="F43" s="40" t="s">
        <v>12</v>
      </c>
      <c r="G43" s="40"/>
      <c r="H43" s="42">
        <v>5</v>
      </c>
      <c r="I43" s="40" t="s">
        <v>13</v>
      </c>
    </row>
    <row r="44" spans="1:9" x14ac:dyDescent="0.25">
      <c r="A44" s="40" t="s">
        <v>37</v>
      </c>
      <c r="B44" s="40">
        <v>2</v>
      </c>
      <c r="C44" s="41">
        <v>46055</v>
      </c>
      <c r="D44" s="40" t="s">
        <v>10</v>
      </c>
      <c r="E44" s="40" t="s">
        <v>53</v>
      </c>
      <c r="F44" s="40" t="s">
        <v>12</v>
      </c>
      <c r="G44" s="40"/>
      <c r="H44" s="42">
        <v>200</v>
      </c>
      <c r="I44" s="40" t="s">
        <v>13</v>
      </c>
    </row>
    <row r="45" spans="1:9" x14ac:dyDescent="0.25">
      <c r="A45" s="40" t="s">
        <v>37</v>
      </c>
      <c r="B45" s="40">
        <v>2</v>
      </c>
      <c r="C45" s="41">
        <v>46055</v>
      </c>
      <c r="D45" s="40" t="s">
        <v>10</v>
      </c>
      <c r="E45" s="40" t="s">
        <v>54</v>
      </c>
      <c r="F45" s="40" t="s">
        <v>12</v>
      </c>
      <c r="G45" s="40"/>
      <c r="H45" s="42">
        <v>25</v>
      </c>
      <c r="I45" s="40" t="s">
        <v>13</v>
      </c>
    </row>
    <row r="46" spans="1:9" x14ac:dyDescent="0.25">
      <c r="A46" s="40" t="s">
        <v>37</v>
      </c>
      <c r="B46" s="40">
        <v>2</v>
      </c>
      <c r="C46" s="41">
        <v>46055</v>
      </c>
      <c r="D46" s="40" t="s">
        <v>10</v>
      </c>
      <c r="E46" s="40" t="s">
        <v>44</v>
      </c>
      <c r="F46" s="40" t="s">
        <v>12</v>
      </c>
      <c r="G46" s="40"/>
      <c r="H46" s="42">
        <v>10</v>
      </c>
      <c r="I46" s="40" t="s">
        <v>13</v>
      </c>
    </row>
    <row r="47" spans="1:9" x14ac:dyDescent="0.25">
      <c r="A47" s="40" t="s">
        <v>37</v>
      </c>
      <c r="B47" s="40">
        <v>2</v>
      </c>
      <c r="C47" s="41">
        <v>46055</v>
      </c>
      <c r="D47" s="40" t="s">
        <v>10</v>
      </c>
      <c r="E47" s="40" t="s">
        <v>30</v>
      </c>
      <c r="F47" s="40" t="s">
        <v>18</v>
      </c>
      <c r="G47" s="40" t="s">
        <v>30</v>
      </c>
      <c r="H47" s="42">
        <v>40</v>
      </c>
      <c r="I47" s="40" t="s">
        <v>13</v>
      </c>
    </row>
    <row r="48" spans="1:9" x14ac:dyDescent="0.25">
      <c r="A48" s="40" t="s">
        <v>37</v>
      </c>
      <c r="B48" s="40">
        <v>2</v>
      </c>
      <c r="C48" s="41">
        <v>46055</v>
      </c>
      <c r="D48" s="40" t="s">
        <v>10</v>
      </c>
      <c r="E48" s="40" t="s">
        <v>55</v>
      </c>
      <c r="F48" s="40" t="s">
        <v>12</v>
      </c>
      <c r="G48" s="40"/>
      <c r="H48" s="42">
        <v>3</v>
      </c>
      <c r="I48" s="40" t="s">
        <v>13</v>
      </c>
    </row>
    <row r="49" spans="1:9" x14ac:dyDescent="0.25">
      <c r="A49" s="40" t="s">
        <v>37</v>
      </c>
      <c r="B49" s="40">
        <v>2</v>
      </c>
      <c r="C49" s="41">
        <v>46056</v>
      </c>
      <c r="D49" s="40" t="s">
        <v>10</v>
      </c>
      <c r="E49" s="40" t="s">
        <v>19</v>
      </c>
      <c r="F49" s="40" t="s">
        <v>18</v>
      </c>
      <c r="G49" s="40" t="s">
        <v>19</v>
      </c>
      <c r="H49" s="42">
        <v>20</v>
      </c>
      <c r="I49" s="40" t="s">
        <v>13</v>
      </c>
    </row>
    <row r="50" spans="1:9" x14ac:dyDescent="0.25">
      <c r="A50" s="40" t="s">
        <v>37</v>
      </c>
      <c r="B50" s="40">
        <v>2</v>
      </c>
      <c r="C50" s="41">
        <v>46056</v>
      </c>
      <c r="D50" s="40" t="s">
        <v>10</v>
      </c>
      <c r="E50" s="40" t="s">
        <v>49</v>
      </c>
      <c r="F50" s="40" t="s">
        <v>18</v>
      </c>
      <c r="G50" s="40" t="s">
        <v>24</v>
      </c>
      <c r="H50" s="42">
        <v>35</v>
      </c>
      <c r="I50" s="40" t="s">
        <v>13</v>
      </c>
    </row>
    <row r="51" spans="1:9" x14ac:dyDescent="0.25">
      <c r="A51" s="40" t="s">
        <v>37</v>
      </c>
      <c r="B51" s="40">
        <v>2</v>
      </c>
      <c r="C51" s="41">
        <v>46056</v>
      </c>
      <c r="D51" s="40" t="s">
        <v>10</v>
      </c>
      <c r="E51" s="40" t="s">
        <v>56</v>
      </c>
      <c r="F51" s="40" t="s">
        <v>12</v>
      </c>
      <c r="G51" s="40"/>
      <c r="H51" s="42">
        <v>5</v>
      </c>
      <c r="I51" s="40" t="s">
        <v>13</v>
      </c>
    </row>
    <row r="52" spans="1:9" x14ac:dyDescent="0.25">
      <c r="A52" s="40" t="s">
        <v>37</v>
      </c>
      <c r="B52" s="40">
        <v>2</v>
      </c>
      <c r="C52" s="41">
        <v>46056</v>
      </c>
      <c r="D52" s="40" t="s">
        <v>10</v>
      </c>
      <c r="E52" s="40" t="s">
        <v>57</v>
      </c>
      <c r="F52" s="40" t="s">
        <v>18</v>
      </c>
      <c r="G52" s="40" t="s">
        <v>24</v>
      </c>
      <c r="H52" s="42">
        <v>70</v>
      </c>
      <c r="I52" s="40" t="s">
        <v>13</v>
      </c>
    </row>
    <row r="53" spans="1:9" x14ac:dyDescent="0.25">
      <c r="A53" s="40" t="s">
        <v>37</v>
      </c>
      <c r="B53" s="40">
        <v>2</v>
      </c>
      <c r="C53" s="41">
        <v>46056</v>
      </c>
      <c r="D53" s="40" t="s">
        <v>10</v>
      </c>
      <c r="E53" s="40" t="s">
        <v>58</v>
      </c>
      <c r="F53" s="40" t="s">
        <v>12</v>
      </c>
      <c r="G53" s="40"/>
      <c r="H53" s="42">
        <v>10</v>
      </c>
      <c r="I53" s="40" t="s">
        <v>13</v>
      </c>
    </row>
    <row r="54" spans="1:9" x14ac:dyDescent="0.25">
      <c r="A54" s="40" t="s">
        <v>37</v>
      </c>
      <c r="B54" s="40">
        <v>2</v>
      </c>
      <c r="C54" s="41">
        <v>46056</v>
      </c>
      <c r="D54" s="40" t="s">
        <v>10</v>
      </c>
      <c r="E54" s="40" t="s">
        <v>44</v>
      </c>
      <c r="F54" s="40" t="s">
        <v>12</v>
      </c>
      <c r="G54" s="40"/>
      <c r="H54" s="42">
        <v>6</v>
      </c>
      <c r="I54" s="40" t="s">
        <v>13</v>
      </c>
    </row>
    <row r="55" spans="1:9" x14ac:dyDescent="0.25">
      <c r="A55" s="40" t="s">
        <v>37</v>
      </c>
      <c r="B55" s="40">
        <v>2</v>
      </c>
      <c r="C55" s="41">
        <v>46056</v>
      </c>
      <c r="D55" s="40" t="s">
        <v>10</v>
      </c>
      <c r="E55" s="40" t="s">
        <v>49</v>
      </c>
      <c r="F55" s="40" t="s">
        <v>18</v>
      </c>
      <c r="G55" s="40" t="s">
        <v>24</v>
      </c>
      <c r="H55" s="42">
        <v>35</v>
      </c>
      <c r="I55" s="40" t="s">
        <v>21</v>
      </c>
    </row>
    <row r="56" spans="1:9" x14ac:dyDescent="0.25">
      <c r="A56" s="40" t="s">
        <v>37</v>
      </c>
      <c r="B56" s="40">
        <v>2</v>
      </c>
      <c r="C56" s="41">
        <v>46056</v>
      </c>
      <c r="D56" s="40" t="s">
        <v>10</v>
      </c>
      <c r="E56" s="40" t="s">
        <v>59</v>
      </c>
      <c r="F56" s="40" t="s">
        <v>18</v>
      </c>
      <c r="G56" s="40" t="s">
        <v>26</v>
      </c>
      <c r="H56" s="42">
        <v>35</v>
      </c>
      <c r="I56" s="40" t="s">
        <v>21</v>
      </c>
    </row>
    <row r="57" spans="1:9" x14ac:dyDescent="0.25">
      <c r="A57" s="40" t="s">
        <v>37</v>
      </c>
      <c r="B57" s="40">
        <v>2</v>
      </c>
      <c r="C57" s="41">
        <v>46056</v>
      </c>
      <c r="D57" s="40" t="s">
        <v>10</v>
      </c>
      <c r="E57" s="40" t="s">
        <v>60</v>
      </c>
      <c r="F57" s="40" t="s">
        <v>18</v>
      </c>
      <c r="G57" s="40" t="s">
        <v>26</v>
      </c>
      <c r="H57" s="42">
        <v>70</v>
      </c>
      <c r="I57" s="40" t="s">
        <v>13</v>
      </c>
    </row>
    <row r="58" spans="1:9" x14ac:dyDescent="0.25">
      <c r="A58" s="40" t="s">
        <v>37</v>
      </c>
      <c r="B58" s="40">
        <v>2</v>
      </c>
      <c r="C58" s="41">
        <v>46057</v>
      </c>
      <c r="D58" s="40" t="s">
        <v>10</v>
      </c>
      <c r="E58" s="40" t="s">
        <v>61</v>
      </c>
      <c r="F58" s="40" t="s">
        <v>12</v>
      </c>
      <c r="G58" s="40"/>
      <c r="H58" s="42">
        <v>7</v>
      </c>
      <c r="I58" s="40" t="s">
        <v>13</v>
      </c>
    </row>
    <row r="59" spans="1:9" x14ac:dyDescent="0.25">
      <c r="A59" s="40" t="s">
        <v>37</v>
      </c>
      <c r="B59" s="40">
        <v>2</v>
      </c>
      <c r="C59" s="41">
        <v>46057</v>
      </c>
      <c r="D59" s="40" t="s">
        <v>10</v>
      </c>
      <c r="E59" s="40" t="s">
        <v>62</v>
      </c>
      <c r="F59" s="40" t="s">
        <v>12</v>
      </c>
      <c r="G59" s="40"/>
      <c r="H59" s="42">
        <v>25</v>
      </c>
      <c r="I59" s="40" t="s">
        <v>13</v>
      </c>
    </row>
    <row r="60" spans="1:9" x14ac:dyDescent="0.25">
      <c r="A60" s="40" t="s">
        <v>37</v>
      </c>
      <c r="B60" s="40">
        <v>2</v>
      </c>
      <c r="C60" s="41">
        <v>46057</v>
      </c>
      <c r="D60" s="40" t="s">
        <v>10</v>
      </c>
      <c r="E60" s="40" t="s">
        <v>63</v>
      </c>
      <c r="F60" s="40" t="s">
        <v>12</v>
      </c>
      <c r="G60" s="40"/>
      <c r="H60" s="42">
        <v>5</v>
      </c>
      <c r="I60" s="40" t="s">
        <v>13</v>
      </c>
    </row>
    <row r="61" spans="1:9" x14ac:dyDescent="0.25">
      <c r="A61" s="40" t="s">
        <v>37</v>
      </c>
      <c r="B61" s="40">
        <v>2</v>
      </c>
      <c r="C61" s="41">
        <v>46057</v>
      </c>
      <c r="D61" s="40" t="s">
        <v>10</v>
      </c>
      <c r="E61" s="40" t="s">
        <v>24</v>
      </c>
      <c r="F61" s="40" t="s">
        <v>18</v>
      </c>
      <c r="G61" s="40" t="s">
        <v>24</v>
      </c>
      <c r="H61" s="42">
        <v>35</v>
      </c>
      <c r="I61" s="40" t="s">
        <v>13</v>
      </c>
    </row>
    <row r="62" spans="1:9" x14ac:dyDescent="0.25">
      <c r="A62" s="40" t="s">
        <v>37</v>
      </c>
      <c r="B62" s="40">
        <v>2</v>
      </c>
      <c r="C62" s="41">
        <v>46057</v>
      </c>
      <c r="D62" s="40" t="s">
        <v>10</v>
      </c>
      <c r="E62" s="40" t="s">
        <v>24</v>
      </c>
      <c r="F62" s="40" t="s">
        <v>18</v>
      </c>
      <c r="G62" s="40" t="s">
        <v>24</v>
      </c>
      <c r="H62" s="42">
        <v>35</v>
      </c>
      <c r="I62" s="40" t="s">
        <v>13</v>
      </c>
    </row>
    <row r="63" spans="1:9" x14ac:dyDescent="0.25">
      <c r="A63" s="40" t="s">
        <v>37</v>
      </c>
      <c r="B63" s="40">
        <v>2</v>
      </c>
      <c r="C63" s="41">
        <v>46057</v>
      </c>
      <c r="D63" s="40" t="s">
        <v>10</v>
      </c>
      <c r="E63" s="40" t="s">
        <v>64</v>
      </c>
      <c r="F63" s="40" t="s">
        <v>18</v>
      </c>
      <c r="G63" s="40" t="s">
        <v>30</v>
      </c>
      <c r="H63" s="42">
        <v>70</v>
      </c>
      <c r="I63" s="40" t="s">
        <v>21</v>
      </c>
    </row>
    <row r="64" spans="1:9" x14ac:dyDescent="0.25">
      <c r="A64" s="40" t="s">
        <v>37</v>
      </c>
      <c r="B64" s="40">
        <v>2</v>
      </c>
      <c r="C64" s="41">
        <v>46057</v>
      </c>
      <c r="D64" s="40" t="s">
        <v>10</v>
      </c>
      <c r="E64" s="40" t="s">
        <v>65</v>
      </c>
      <c r="F64" s="40" t="s">
        <v>12</v>
      </c>
      <c r="G64" s="40"/>
      <c r="H64" s="42">
        <v>30</v>
      </c>
      <c r="I64" s="40" t="s">
        <v>21</v>
      </c>
    </row>
    <row r="65" spans="1:9" x14ac:dyDescent="0.25">
      <c r="A65" s="40" t="s">
        <v>37</v>
      </c>
      <c r="B65" s="40">
        <v>2</v>
      </c>
      <c r="C65" s="41">
        <v>46057</v>
      </c>
      <c r="D65" s="40" t="s">
        <v>10</v>
      </c>
      <c r="E65" s="40" t="s">
        <v>66</v>
      </c>
      <c r="F65" s="40" t="s">
        <v>18</v>
      </c>
      <c r="G65" s="40" t="s">
        <v>19</v>
      </c>
      <c r="H65" s="42">
        <v>20</v>
      </c>
      <c r="I65" s="40" t="s">
        <v>13</v>
      </c>
    </row>
    <row r="66" spans="1:9" x14ac:dyDescent="0.25">
      <c r="A66" s="40" t="s">
        <v>37</v>
      </c>
      <c r="B66" s="40">
        <v>2</v>
      </c>
      <c r="C66" s="41">
        <v>46057</v>
      </c>
      <c r="D66" s="40" t="s">
        <v>10</v>
      </c>
      <c r="E66" s="40" t="s">
        <v>67</v>
      </c>
      <c r="F66" s="40" t="s">
        <v>12</v>
      </c>
      <c r="G66" s="40"/>
      <c r="H66" s="42">
        <v>33</v>
      </c>
      <c r="I66" s="40" t="s">
        <v>13</v>
      </c>
    </row>
    <row r="67" spans="1:9" x14ac:dyDescent="0.25">
      <c r="A67" s="40" t="s">
        <v>37</v>
      </c>
      <c r="B67" s="40">
        <v>2</v>
      </c>
      <c r="C67" s="41">
        <v>46057</v>
      </c>
      <c r="D67" s="40" t="s">
        <v>10</v>
      </c>
      <c r="E67" s="40" t="s">
        <v>24</v>
      </c>
      <c r="F67" s="40" t="s">
        <v>18</v>
      </c>
      <c r="G67" s="40" t="s">
        <v>24</v>
      </c>
      <c r="H67" s="42">
        <v>35</v>
      </c>
      <c r="I67" s="40" t="s">
        <v>13</v>
      </c>
    </row>
    <row r="68" spans="1:9" x14ac:dyDescent="0.25">
      <c r="A68" s="40" t="s">
        <v>37</v>
      </c>
      <c r="B68" s="40">
        <v>2</v>
      </c>
      <c r="C68" s="41">
        <v>46057</v>
      </c>
      <c r="D68" s="40" t="s">
        <v>10</v>
      </c>
      <c r="E68" s="40" t="s">
        <v>68</v>
      </c>
      <c r="F68" s="40" t="s">
        <v>12</v>
      </c>
      <c r="G68" s="40"/>
      <c r="H68" s="42">
        <v>5</v>
      </c>
      <c r="I68" s="40" t="s">
        <v>13</v>
      </c>
    </row>
    <row r="69" spans="1:9" x14ac:dyDescent="0.25">
      <c r="A69" s="40" t="s">
        <v>37</v>
      </c>
      <c r="B69" s="40">
        <v>2</v>
      </c>
      <c r="C69" s="41">
        <v>46057</v>
      </c>
      <c r="D69" s="40" t="s">
        <v>10</v>
      </c>
      <c r="E69" s="40" t="s">
        <v>69</v>
      </c>
      <c r="F69" s="40" t="s">
        <v>12</v>
      </c>
      <c r="G69" s="40"/>
      <c r="H69" s="42">
        <v>5</v>
      </c>
      <c r="I69" s="40" t="s">
        <v>13</v>
      </c>
    </row>
    <row r="70" spans="1:9" x14ac:dyDescent="0.25">
      <c r="A70" s="40" t="s">
        <v>37</v>
      </c>
      <c r="B70" s="40">
        <v>2</v>
      </c>
      <c r="C70" s="41">
        <v>46057</v>
      </c>
      <c r="D70" s="40" t="s">
        <v>10</v>
      </c>
      <c r="E70" s="40" t="s">
        <v>70</v>
      </c>
      <c r="F70" s="40" t="s">
        <v>18</v>
      </c>
      <c r="G70" s="40" t="s">
        <v>26</v>
      </c>
      <c r="H70" s="42">
        <v>15</v>
      </c>
      <c r="I70" s="40" t="s">
        <v>13</v>
      </c>
    </row>
    <row r="71" spans="1:9" x14ac:dyDescent="0.25">
      <c r="A71" s="40" t="s">
        <v>37</v>
      </c>
      <c r="B71" s="40">
        <v>2</v>
      </c>
      <c r="C71" s="41">
        <v>46057</v>
      </c>
      <c r="D71" s="40" t="s">
        <v>10</v>
      </c>
      <c r="E71" s="40" t="s">
        <v>71</v>
      </c>
      <c r="F71" s="40" t="s">
        <v>18</v>
      </c>
      <c r="G71" s="40" t="s">
        <v>72</v>
      </c>
      <c r="H71" s="42">
        <v>45</v>
      </c>
      <c r="I71" s="40" t="s">
        <v>13</v>
      </c>
    </row>
    <row r="72" spans="1:9" x14ac:dyDescent="0.25">
      <c r="A72" s="40" t="s">
        <v>37</v>
      </c>
      <c r="B72" s="40">
        <v>2</v>
      </c>
      <c r="C72" s="41">
        <v>46057</v>
      </c>
      <c r="D72" s="40" t="s">
        <v>10</v>
      </c>
      <c r="E72" s="40" t="s">
        <v>26</v>
      </c>
      <c r="F72" s="40" t="s">
        <v>18</v>
      </c>
      <c r="G72" s="40" t="s">
        <v>26</v>
      </c>
      <c r="H72" s="42">
        <v>35</v>
      </c>
      <c r="I72" s="40" t="s">
        <v>21</v>
      </c>
    </row>
    <row r="73" spans="1:9" x14ac:dyDescent="0.25">
      <c r="A73" s="40" t="s">
        <v>37</v>
      </c>
      <c r="B73" s="40">
        <v>2</v>
      </c>
      <c r="C73" s="41">
        <v>46058</v>
      </c>
      <c r="D73" s="40" t="s">
        <v>10</v>
      </c>
      <c r="E73" s="40" t="s">
        <v>73</v>
      </c>
      <c r="F73" s="40" t="s">
        <v>12</v>
      </c>
      <c r="G73" s="40"/>
      <c r="H73" s="42">
        <v>3</v>
      </c>
      <c r="I73" s="40" t="s">
        <v>13</v>
      </c>
    </row>
    <row r="74" spans="1:9" x14ac:dyDescent="0.25">
      <c r="A74" s="40" t="s">
        <v>37</v>
      </c>
      <c r="B74" s="40">
        <v>2</v>
      </c>
      <c r="C74" s="41">
        <v>46058</v>
      </c>
      <c r="D74" s="40" t="s">
        <v>10</v>
      </c>
      <c r="E74" s="40" t="s">
        <v>74</v>
      </c>
      <c r="F74" s="40" t="s">
        <v>18</v>
      </c>
      <c r="G74" s="40" t="s">
        <v>19</v>
      </c>
      <c r="H74" s="42">
        <v>40</v>
      </c>
      <c r="I74" s="40" t="s">
        <v>13</v>
      </c>
    </row>
    <row r="75" spans="1:9" x14ac:dyDescent="0.25">
      <c r="A75" s="40" t="s">
        <v>37</v>
      </c>
      <c r="B75" s="40">
        <v>2</v>
      </c>
      <c r="C75" s="41">
        <v>46058</v>
      </c>
      <c r="D75" s="40" t="s">
        <v>10</v>
      </c>
      <c r="E75" s="40" t="s">
        <v>26</v>
      </c>
      <c r="F75" s="40" t="s">
        <v>18</v>
      </c>
      <c r="G75" s="40" t="s">
        <v>26</v>
      </c>
      <c r="H75" s="42">
        <v>70</v>
      </c>
      <c r="I75" s="40" t="s">
        <v>21</v>
      </c>
    </row>
    <row r="76" spans="1:9" x14ac:dyDescent="0.25">
      <c r="A76" s="40" t="s">
        <v>37</v>
      </c>
      <c r="B76" s="40">
        <v>2</v>
      </c>
      <c r="C76" s="41">
        <v>46058</v>
      </c>
      <c r="D76" s="40" t="s">
        <v>10</v>
      </c>
      <c r="E76" s="40" t="s">
        <v>75</v>
      </c>
      <c r="F76" s="40" t="s">
        <v>18</v>
      </c>
      <c r="G76" s="40" t="s">
        <v>24</v>
      </c>
      <c r="H76" s="42">
        <v>45</v>
      </c>
      <c r="I76" s="40" t="s">
        <v>13</v>
      </c>
    </row>
    <row r="77" spans="1:9" x14ac:dyDescent="0.25">
      <c r="A77" s="40" t="s">
        <v>37</v>
      </c>
      <c r="B77" s="40">
        <v>2</v>
      </c>
      <c r="C77" s="41">
        <v>46058</v>
      </c>
      <c r="D77" s="40" t="s">
        <v>10</v>
      </c>
      <c r="E77" s="40" t="s">
        <v>76</v>
      </c>
      <c r="F77" s="40" t="s">
        <v>12</v>
      </c>
      <c r="G77" s="40"/>
      <c r="H77" s="42">
        <v>140</v>
      </c>
      <c r="I77" s="40" t="s">
        <v>13</v>
      </c>
    </row>
    <row r="78" spans="1:9" x14ac:dyDescent="0.25">
      <c r="A78" s="40" t="s">
        <v>37</v>
      </c>
      <c r="B78" s="40">
        <v>2</v>
      </c>
      <c r="C78" s="41">
        <v>46058</v>
      </c>
      <c r="D78" s="40" t="s">
        <v>10</v>
      </c>
      <c r="E78" s="40" t="s">
        <v>75</v>
      </c>
      <c r="F78" s="40" t="s">
        <v>18</v>
      </c>
      <c r="G78" s="40" t="s">
        <v>24</v>
      </c>
      <c r="H78" s="42">
        <v>45</v>
      </c>
      <c r="I78" s="40" t="s">
        <v>13</v>
      </c>
    </row>
    <row r="79" spans="1:9" x14ac:dyDescent="0.25">
      <c r="A79" s="40" t="s">
        <v>37</v>
      </c>
      <c r="B79" s="40">
        <v>2</v>
      </c>
      <c r="C79" s="41">
        <v>46058</v>
      </c>
      <c r="D79" s="40" t="s">
        <v>10</v>
      </c>
      <c r="E79" s="40" t="s">
        <v>77</v>
      </c>
      <c r="F79" s="40" t="s">
        <v>12</v>
      </c>
      <c r="G79" s="40"/>
      <c r="H79" s="42">
        <v>20</v>
      </c>
      <c r="I79" s="40" t="s">
        <v>13</v>
      </c>
    </row>
    <row r="80" spans="1:9" x14ac:dyDescent="0.25">
      <c r="A80" s="40" t="s">
        <v>37</v>
      </c>
      <c r="B80" s="40">
        <v>2</v>
      </c>
      <c r="C80" s="41">
        <v>46058</v>
      </c>
      <c r="D80" s="40" t="s">
        <v>10</v>
      </c>
      <c r="E80" s="40" t="s">
        <v>78</v>
      </c>
      <c r="F80" s="40" t="s">
        <v>12</v>
      </c>
      <c r="G80" s="40"/>
      <c r="H80" s="42">
        <v>39</v>
      </c>
      <c r="I80" s="40" t="s">
        <v>13</v>
      </c>
    </row>
    <row r="81" spans="1:9" x14ac:dyDescent="0.25">
      <c r="A81" s="40" t="s">
        <v>37</v>
      </c>
      <c r="B81" s="40">
        <v>2</v>
      </c>
      <c r="C81" s="41">
        <v>46058</v>
      </c>
      <c r="D81" s="40" t="s">
        <v>10</v>
      </c>
      <c r="E81" s="40" t="s">
        <v>79</v>
      </c>
      <c r="F81" s="40" t="s">
        <v>12</v>
      </c>
      <c r="G81" s="40"/>
      <c r="H81" s="42">
        <v>6</v>
      </c>
      <c r="I81" s="40" t="s">
        <v>13</v>
      </c>
    </row>
    <row r="82" spans="1:9" x14ac:dyDescent="0.25">
      <c r="A82" s="40" t="s">
        <v>37</v>
      </c>
      <c r="B82" s="40">
        <v>2</v>
      </c>
      <c r="C82" s="41">
        <v>46058</v>
      </c>
      <c r="D82" s="40" t="s">
        <v>10</v>
      </c>
      <c r="E82" s="40" t="s">
        <v>80</v>
      </c>
      <c r="F82" s="40" t="s">
        <v>12</v>
      </c>
      <c r="G82" s="40"/>
      <c r="H82" s="42">
        <v>24</v>
      </c>
      <c r="I82" s="40" t="s">
        <v>21</v>
      </c>
    </row>
    <row r="83" spans="1:9" x14ac:dyDescent="0.25">
      <c r="A83" s="40" t="s">
        <v>37</v>
      </c>
      <c r="B83" s="40">
        <v>2</v>
      </c>
      <c r="C83" s="41">
        <v>46058</v>
      </c>
      <c r="D83" s="40" t="s">
        <v>10</v>
      </c>
      <c r="E83" s="40" t="s">
        <v>81</v>
      </c>
      <c r="F83" s="40" t="s">
        <v>18</v>
      </c>
      <c r="G83" s="40" t="s">
        <v>26</v>
      </c>
      <c r="H83" s="42">
        <v>110</v>
      </c>
      <c r="I83" s="40" t="s">
        <v>21</v>
      </c>
    </row>
    <row r="84" spans="1:9" x14ac:dyDescent="0.25">
      <c r="A84" s="40" t="s">
        <v>37</v>
      </c>
      <c r="B84" s="40">
        <v>2</v>
      </c>
      <c r="C84" s="41">
        <v>46058</v>
      </c>
      <c r="D84" s="40" t="s">
        <v>10</v>
      </c>
      <c r="E84" s="40" t="s">
        <v>82</v>
      </c>
      <c r="F84" s="40" t="s">
        <v>18</v>
      </c>
      <c r="G84" s="40" t="s">
        <v>19</v>
      </c>
      <c r="H84" s="42">
        <v>15</v>
      </c>
      <c r="I84" s="40" t="s">
        <v>13</v>
      </c>
    </row>
    <row r="85" spans="1:9" x14ac:dyDescent="0.25">
      <c r="A85" s="40" t="s">
        <v>37</v>
      </c>
      <c r="B85" s="40">
        <v>2</v>
      </c>
      <c r="C85" s="41">
        <v>46059</v>
      </c>
      <c r="D85" s="40" t="s">
        <v>10</v>
      </c>
      <c r="E85" s="40" t="s">
        <v>83</v>
      </c>
      <c r="F85" s="40" t="s">
        <v>12</v>
      </c>
      <c r="G85" s="40"/>
      <c r="H85" s="42">
        <v>55</v>
      </c>
      <c r="I85" s="40" t="s">
        <v>13</v>
      </c>
    </row>
    <row r="86" spans="1:9" x14ac:dyDescent="0.25">
      <c r="A86" s="40" t="s">
        <v>37</v>
      </c>
      <c r="B86" s="40">
        <v>2</v>
      </c>
      <c r="C86" s="41">
        <v>46059</v>
      </c>
      <c r="D86" s="40" t="s">
        <v>14</v>
      </c>
      <c r="E86" s="40" t="s">
        <v>84</v>
      </c>
      <c r="F86" s="40"/>
      <c r="G86" s="40"/>
      <c r="H86" s="42">
        <v>7</v>
      </c>
      <c r="I86" s="40" t="s">
        <v>13</v>
      </c>
    </row>
    <row r="87" spans="1:9" x14ac:dyDescent="0.25">
      <c r="A87" s="40" t="s">
        <v>37</v>
      </c>
      <c r="B87" s="40">
        <v>2</v>
      </c>
      <c r="C87" s="41">
        <v>46059</v>
      </c>
      <c r="D87" s="40" t="s">
        <v>10</v>
      </c>
      <c r="E87" s="40" t="s">
        <v>85</v>
      </c>
      <c r="F87" s="40" t="s">
        <v>12</v>
      </c>
      <c r="G87" s="40"/>
      <c r="H87" s="42">
        <v>30</v>
      </c>
      <c r="I87" s="40" t="s">
        <v>21</v>
      </c>
    </row>
    <row r="88" spans="1:9" x14ac:dyDescent="0.25">
      <c r="A88" s="40" t="s">
        <v>37</v>
      </c>
      <c r="B88" s="40">
        <v>2</v>
      </c>
      <c r="C88" s="41">
        <v>46059</v>
      </c>
      <c r="D88" s="40" t="s">
        <v>10</v>
      </c>
      <c r="E88" s="40" t="s">
        <v>86</v>
      </c>
      <c r="F88" s="40" t="s">
        <v>12</v>
      </c>
      <c r="G88" s="40"/>
      <c r="H88" s="42">
        <v>10</v>
      </c>
      <c r="I88" s="40" t="s">
        <v>13</v>
      </c>
    </row>
    <row r="89" spans="1:9" x14ac:dyDescent="0.25">
      <c r="A89" s="40" t="s">
        <v>37</v>
      </c>
      <c r="B89" s="40">
        <v>2</v>
      </c>
      <c r="C89" s="41">
        <v>46059</v>
      </c>
      <c r="D89" s="40" t="s">
        <v>10</v>
      </c>
      <c r="E89" s="40" t="s">
        <v>24</v>
      </c>
      <c r="F89" s="40" t="s">
        <v>18</v>
      </c>
      <c r="G89" s="40" t="s">
        <v>24</v>
      </c>
      <c r="H89" s="42">
        <v>35</v>
      </c>
      <c r="I89" s="40" t="s">
        <v>13</v>
      </c>
    </row>
    <row r="90" spans="1:9" x14ac:dyDescent="0.25">
      <c r="A90" s="40" t="s">
        <v>37</v>
      </c>
      <c r="B90" s="40">
        <v>2</v>
      </c>
      <c r="C90" s="41">
        <v>46059</v>
      </c>
      <c r="D90" s="40" t="s">
        <v>10</v>
      </c>
      <c r="E90" s="40" t="s">
        <v>24</v>
      </c>
      <c r="F90" s="40" t="s">
        <v>18</v>
      </c>
      <c r="G90" s="40" t="s">
        <v>24</v>
      </c>
      <c r="H90" s="42">
        <v>40</v>
      </c>
      <c r="I90" s="40" t="s">
        <v>13</v>
      </c>
    </row>
    <row r="91" spans="1:9" x14ac:dyDescent="0.25">
      <c r="A91" s="40" t="s">
        <v>37</v>
      </c>
      <c r="B91" s="40">
        <v>2</v>
      </c>
      <c r="C91" s="41">
        <v>46059</v>
      </c>
      <c r="D91" s="40" t="s">
        <v>10</v>
      </c>
      <c r="E91" s="40" t="s">
        <v>44</v>
      </c>
      <c r="F91" s="40" t="s">
        <v>12</v>
      </c>
      <c r="G91" s="40"/>
      <c r="H91" s="42">
        <v>5</v>
      </c>
      <c r="I91" s="40" t="s">
        <v>13</v>
      </c>
    </row>
    <row r="92" spans="1:9" x14ac:dyDescent="0.25">
      <c r="A92" s="40" t="s">
        <v>37</v>
      </c>
      <c r="B92" s="40">
        <v>2</v>
      </c>
      <c r="C92" s="41">
        <v>46059</v>
      </c>
      <c r="D92" s="40" t="s">
        <v>10</v>
      </c>
      <c r="E92" s="40" t="s">
        <v>87</v>
      </c>
      <c r="F92" s="40" t="s">
        <v>12</v>
      </c>
      <c r="G92" s="40"/>
      <c r="H92" s="42">
        <v>13</v>
      </c>
      <c r="I92" s="40" t="s">
        <v>13</v>
      </c>
    </row>
    <row r="93" spans="1:9" x14ac:dyDescent="0.25">
      <c r="A93" s="40" t="s">
        <v>37</v>
      </c>
      <c r="B93" s="40">
        <v>2</v>
      </c>
      <c r="C93" s="41">
        <v>46059</v>
      </c>
      <c r="D93" s="40" t="s">
        <v>10</v>
      </c>
      <c r="E93" s="40" t="s">
        <v>88</v>
      </c>
      <c r="F93" s="40" t="s">
        <v>18</v>
      </c>
      <c r="G93" s="40" t="s">
        <v>88</v>
      </c>
      <c r="H93" s="42">
        <v>10</v>
      </c>
      <c r="I93" s="40" t="s">
        <v>13</v>
      </c>
    </row>
    <row r="94" spans="1:9" x14ac:dyDescent="0.25">
      <c r="A94" s="40" t="s">
        <v>37</v>
      </c>
      <c r="B94" s="40">
        <v>2</v>
      </c>
      <c r="C94" s="41">
        <v>46059</v>
      </c>
      <c r="D94" s="40" t="s">
        <v>10</v>
      </c>
      <c r="E94" s="40" t="s">
        <v>49</v>
      </c>
      <c r="F94" s="40" t="s">
        <v>18</v>
      </c>
      <c r="G94" s="40" t="s">
        <v>24</v>
      </c>
      <c r="H94" s="42">
        <v>30</v>
      </c>
      <c r="I94" s="40" t="s">
        <v>13</v>
      </c>
    </row>
    <row r="95" spans="1:9" x14ac:dyDescent="0.25">
      <c r="A95" s="40" t="s">
        <v>37</v>
      </c>
      <c r="B95" s="40">
        <v>2</v>
      </c>
      <c r="C95" s="41">
        <v>46059</v>
      </c>
      <c r="D95" s="40" t="s">
        <v>10</v>
      </c>
      <c r="E95" s="40" t="s">
        <v>26</v>
      </c>
      <c r="F95" s="40" t="s">
        <v>18</v>
      </c>
      <c r="G95" s="40" t="s">
        <v>26</v>
      </c>
      <c r="H95" s="42">
        <v>50</v>
      </c>
      <c r="I95" s="40" t="s">
        <v>13</v>
      </c>
    </row>
    <row r="96" spans="1:9" x14ac:dyDescent="0.25">
      <c r="A96" s="40" t="s">
        <v>37</v>
      </c>
      <c r="B96" s="40">
        <v>2</v>
      </c>
      <c r="C96" s="41">
        <v>46059</v>
      </c>
      <c r="D96" s="40" t="s">
        <v>10</v>
      </c>
      <c r="E96" s="40" t="s">
        <v>89</v>
      </c>
      <c r="F96" s="40" t="s">
        <v>12</v>
      </c>
      <c r="G96" s="40"/>
      <c r="H96" s="42">
        <v>35</v>
      </c>
      <c r="I96" s="40" t="s">
        <v>13</v>
      </c>
    </row>
    <row r="97" spans="1:9" x14ac:dyDescent="0.25">
      <c r="A97" s="40" t="s">
        <v>37</v>
      </c>
      <c r="B97" s="40">
        <v>2</v>
      </c>
      <c r="C97" s="41">
        <v>46059</v>
      </c>
      <c r="D97" s="40" t="s">
        <v>10</v>
      </c>
      <c r="E97" s="40" t="s">
        <v>26</v>
      </c>
      <c r="F97" s="40" t="s">
        <v>18</v>
      </c>
      <c r="G97" s="40" t="s">
        <v>26</v>
      </c>
      <c r="H97" s="42">
        <v>60</v>
      </c>
      <c r="I97" s="40" t="s">
        <v>13</v>
      </c>
    </row>
    <row r="98" spans="1:9" x14ac:dyDescent="0.25">
      <c r="A98" s="40" t="s">
        <v>37</v>
      </c>
      <c r="B98" s="40">
        <v>2</v>
      </c>
      <c r="C98" s="41">
        <v>46059</v>
      </c>
      <c r="D98" s="40" t="s">
        <v>10</v>
      </c>
      <c r="E98" s="40" t="s">
        <v>24</v>
      </c>
      <c r="F98" s="40" t="s">
        <v>18</v>
      </c>
      <c r="G98" s="40" t="s">
        <v>24</v>
      </c>
      <c r="H98" s="42">
        <v>35</v>
      </c>
      <c r="I98" s="40" t="s">
        <v>21</v>
      </c>
    </row>
    <row r="99" spans="1:9" x14ac:dyDescent="0.25">
      <c r="A99" s="40" t="s">
        <v>37</v>
      </c>
      <c r="B99" s="40">
        <v>2</v>
      </c>
      <c r="C99" s="41">
        <v>46059</v>
      </c>
      <c r="D99" s="40" t="s">
        <v>10</v>
      </c>
      <c r="E99" s="40" t="s">
        <v>90</v>
      </c>
      <c r="F99" s="40" t="s">
        <v>18</v>
      </c>
      <c r="G99" s="40" t="s">
        <v>91</v>
      </c>
      <c r="H99" s="42">
        <v>120</v>
      </c>
      <c r="I99" s="40" t="s">
        <v>13</v>
      </c>
    </row>
    <row r="100" spans="1:9" x14ac:dyDescent="0.25">
      <c r="A100" s="40" t="s">
        <v>37</v>
      </c>
      <c r="B100" s="40">
        <v>2</v>
      </c>
      <c r="C100" s="41">
        <v>46059</v>
      </c>
      <c r="D100" s="40" t="s">
        <v>10</v>
      </c>
      <c r="E100" s="40" t="s">
        <v>92</v>
      </c>
      <c r="F100" s="40" t="s">
        <v>12</v>
      </c>
      <c r="G100" s="40"/>
      <c r="H100" s="42">
        <v>6</v>
      </c>
      <c r="I100" s="40" t="s">
        <v>13</v>
      </c>
    </row>
    <row r="101" spans="1:9" x14ac:dyDescent="0.25">
      <c r="A101" s="40" t="s">
        <v>37</v>
      </c>
      <c r="B101" s="40">
        <v>2</v>
      </c>
      <c r="C101" s="41">
        <v>46060</v>
      </c>
      <c r="D101" s="40" t="s">
        <v>10</v>
      </c>
      <c r="E101" s="40" t="s">
        <v>93</v>
      </c>
      <c r="F101" s="40" t="s">
        <v>12</v>
      </c>
      <c r="G101" s="40"/>
      <c r="H101" s="42">
        <v>10</v>
      </c>
      <c r="I101" s="40" t="s">
        <v>13</v>
      </c>
    </row>
    <row r="102" spans="1:9" x14ac:dyDescent="0.25">
      <c r="A102" s="40" t="s">
        <v>37</v>
      </c>
      <c r="B102" s="40">
        <v>2</v>
      </c>
      <c r="C102" s="41">
        <v>46060</v>
      </c>
      <c r="D102" s="40" t="s">
        <v>14</v>
      </c>
      <c r="E102" s="40" t="s">
        <v>94</v>
      </c>
      <c r="F102" s="40"/>
      <c r="G102" s="40"/>
      <c r="H102" s="42">
        <v>600</v>
      </c>
      <c r="I102" s="40" t="s">
        <v>13</v>
      </c>
    </row>
    <row r="103" spans="1:9" x14ac:dyDescent="0.25">
      <c r="A103" s="40" t="s">
        <v>37</v>
      </c>
      <c r="B103" s="40">
        <v>2</v>
      </c>
      <c r="C103" s="41">
        <v>46060</v>
      </c>
      <c r="D103" s="40" t="s">
        <v>10</v>
      </c>
      <c r="E103" s="40" t="s">
        <v>95</v>
      </c>
      <c r="F103" s="40" t="s">
        <v>12</v>
      </c>
      <c r="G103" s="40"/>
      <c r="H103" s="42">
        <v>11</v>
      </c>
      <c r="I103" s="40" t="s">
        <v>13</v>
      </c>
    </row>
    <row r="104" spans="1:9" x14ac:dyDescent="0.25">
      <c r="A104" s="40" t="s">
        <v>37</v>
      </c>
      <c r="B104" s="40">
        <v>2</v>
      </c>
      <c r="C104" s="41">
        <v>46062</v>
      </c>
      <c r="D104" s="40" t="s">
        <v>10</v>
      </c>
      <c r="E104" s="40" t="s">
        <v>96</v>
      </c>
      <c r="F104" s="40" t="s">
        <v>12</v>
      </c>
      <c r="G104" s="40"/>
      <c r="H104" s="42">
        <v>2</v>
      </c>
      <c r="I104" s="40" t="s">
        <v>13</v>
      </c>
    </row>
    <row r="105" spans="1:9" x14ac:dyDescent="0.25">
      <c r="A105" s="40" t="s">
        <v>37</v>
      </c>
      <c r="B105" s="40">
        <v>2</v>
      </c>
      <c r="C105" s="41">
        <v>46062</v>
      </c>
      <c r="D105" s="40" t="s">
        <v>10</v>
      </c>
      <c r="E105" s="40" t="s">
        <v>96</v>
      </c>
      <c r="F105" s="40" t="s">
        <v>12</v>
      </c>
      <c r="G105" s="40"/>
      <c r="H105" s="42">
        <v>5</v>
      </c>
      <c r="I105" s="40" t="s">
        <v>13</v>
      </c>
    </row>
    <row r="106" spans="1:9" x14ac:dyDescent="0.25">
      <c r="A106" s="40" t="s">
        <v>37</v>
      </c>
      <c r="B106" s="40">
        <v>2</v>
      </c>
      <c r="C106" s="41">
        <v>46062</v>
      </c>
      <c r="D106" s="40" t="s">
        <v>10</v>
      </c>
      <c r="E106" s="40" t="s">
        <v>97</v>
      </c>
      <c r="F106" s="40" t="s">
        <v>18</v>
      </c>
      <c r="G106" s="40" t="s">
        <v>98</v>
      </c>
      <c r="H106" s="42">
        <v>5</v>
      </c>
      <c r="I106" s="40" t="s">
        <v>13</v>
      </c>
    </row>
    <row r="107" spans="1:9" x14ac:dyDescent="0.25">
      <c r="A107" s="40" t="s">
        <v>37</v>
      </c>
      <c r="B107" s="40">
        <v>2</v>
      </c>
      <c r="C107" s="41">
        <v>46063</v>
      </c>
      <c r="D107" s="40" t="s">
        <v>10</v>
      </c>
      <c r="E107" s="40" t="s">
        <v>49</v>
      </c>
      <c r="F107" s="40" t="s">
        <v>18</v>
      </c>
      <c r="G107" s="40" t="s">
        <v>24</v>
      </c>
      <c r="H107" s="42">
        <v>30</v>
      </c>
      <c r="I107" s="40" t="s">
        <v>21</v>
      </c>
    </row>
    <row r="108" spans="1:9" x14ac:dyDescent="0.25">
      <c r="A108" s="40" t="s">
        <v>37</v>
      </c>
      <c r="B108" s="40">
        <v>2</v>
      </c>
      <c r="C108" s="41">
        <v>46063</v>
      </c>
      <c r="D108" s="40" t="s">
        <v>10</v>
      </c>
      <c r="E108" s="40" t="s">
        <v>99</v>
      </c>
      <c r="F108" s="40" t="s">
        <v>12</v>
      </c>
      <c r="G108" s="40"/>
      <c r="H108" s="42">
        <v>1</v>
      </c>
      <c r="I108" s="40" t="s">
        <v>13</v>
      </c>
    </row>
    <row r="109" spans="1:9" x14ac:dyDescent="0.25">
      <c r="A109" s="40" t="s">
        <v>37</v>
      </c>
      <c r="B109" s="40">
        <v>2</v>
      </c>
      <c r="C109" s="41">
        <v>46063</v>
      </c>
      <c r="D109" s="40" t="s">
        <v>10</v>
      </c>
      <c r="E109" s="40" t="s">
        <v>100</v>
      </c>
      <c r="F109" s="40" t="s">
        <v>12</v>
      </c>
      <c r="G109" s="40"/>
      <c r="H109" s="42">
        <v>45</v>
      </c>
      <c r="I109" s="40" t="s">
        <v>13</v>
      </c>
    </row>
    <row r="110" spans="1:9" x14ac:dyDescent="0.25">
      <c r="A110" s="40" t="s">
        <v>37</v>
      </c>
      <c r="B110" s="40">
        <v>2</v>
      </c>
      <c r="C110" s="41">
        <v>46063</v>
      </c>
      <c r="D110" s="40" t="s">
        <v>10</v>
      </c>
      <c r="E110" s="40" t="s">
        <v>101</v>
      </c>
      <c r="F110" s="40" t="s">
        <v>18</v>
      </c>
      <c r="G110" s="40" t="s">
        <v>72</v>
      </c>
      <c r="H110" s="42">
        <v>106</v>
      </c>
      <c r="I110" s="40" t="s">
        <v>13</v>
      </c>
    </row>
    <row r="111" spans="1:9" x14ac:dyDescent="0.25">
      <c r="A111" s="40" t="s">
        <v>37</v>
      </c>
      <c r="B111" s="40">
        <v>2</v>
      </c>
      <c r="C111" s="41">
        <v>46063</v>
      </c>
      <c r="D111" s="40" t="s">
        <v>10</v>
      </c>
      <c r="E111" s="40" t="s">
        <v>102</v>
      </c>
      <c r="F111" s="40" t="s">
        <v>12</v>
      </c>
      <c r="G111" s="40"/>
      <c r="H111" s="42">
        <v>109</v>
      </c>
      <c r="I111" s="40" t="s">
        <v>21</v>
      </c>
    </row>
    <row r="112" spans="1:9" x14ac:dyDescent="0.25">
      <c r="A112" s="40" t="s">
        <v>37</v>
      </c>
      <c r="B112" s="40">
        <v>2</v>
      </c>
      <c r="C112" s="41">
        <v>46063</v>
      </c>
      <c r="D112" s="40" t="s">
        <v>10</v>
      </c>
      <c r="E112" s="40" t="s">
        <v>103</v>
      </c>
      <c r="F112" s="40" t="s">
        <v>18</v>
      </c>
      <c r="G112" s="40" t="s">
        <v>91</v>
      </c>
      <c r="H112" s="42">
        <v>50</v>
      </c>
      <c r="I112" s="40" t="s">
        <v>13</v>
      </c>
    </row>
    <row r="113" spans="1:9" x14ac:dyDescent="0.25">
      <c r="A113" s="40" t="s">
        <v>37</v>
      </c>
      <c r="B113" s="40">
        <v>2</v>
      </c>
      <c r="C113" s="41">
        <v>46063</v>
      </c>
      <c r="D113" s="40" t="s">
        <v>10</v>
      </c>
      <c r="E113" s="40" t="s">
        <v>104</v>
      </c>
      <c r="F113" s="40" t="s">
        <v>12</v>
      </c>
      <c r="G113" s="40"/>
      <c r="H113" s="42">
        <v>170</v>
      </c>
      <c r="I113" s="40" t="s">
        <v>13</v>
      </c>
    </row>
    <row r="114" spans="1:9" x14ac:dyDescent="0.25">
      <c r="A114" s="40" t="s">
        <v>37</v>
      </c>
      <c r="B114" s="40">
        <v>2</v>
      </c>
      <c r="C114" s="41">
        <v>46064</v>
      </c>
      <c r="D114" s="40" t="s">
        <v>10</v>
      </c>
      <c r="E114" s="40" t="s">
        <v>105</v>
      </c>
      <c r="F114" s="40" t="s">
        <v>12</v>
      </c>
      <c r="G114" s="40"/>
      <c r="H114" s="42">
        <v>8</v>
      </c>
      <c r="I114" s="40" t="s">
        <v>21</v>
      </c>
    </row>
    <row r="115" spans="1:9" x14ac:dyDescent="0.25">
      <c r="A115" s="40" t="s">
        <v>37</v>
      </c>
      <c r="B115" s="40">
        <v>2</v>
      </c>
      <c r="C115" s="41">
        <v>46064</v>
      </c>
      <c r="D115" s="40" t="s">
        <v>10</v>
      </c>
      <c r="E115" s="40" t="s">
        <v>106</v>
      </c>
      <c r="F115" s="40" t="s">
        <v>12</v>
      </c>
      <c r="G115" s="40"/>
      <c r="H115" s="42">
        <v>20</v>
      </c>
      <c r="I115" s="40" t="s">
        <v>21</v>
      </c>
    </row>
    <row r="116" spans="1:9" x14ac:dyDescent="0.25">
      <c r="A116" s="40" t="s">
        <v>37</v>
      </c>
      <c r="B116" s="40">
        <v>2</v>
      </c>
      <c r="C116" s="41">
        <v>46064</v>
      </c>
      <c r="D116" s="40" t="s">
        <v>10</v>
      </c>
      <c r="E116" s="40" t="s">
        <v>107</v>
      </c>
      <c r="F116" s="40" t="s">
        <v>12</v>
      </c>
      <c r="G116" s="40"/>
      <c r="H116" s="42">
        <v>10</v>
      </c>
      <c r="I116" s="40" t="s">
        <v>13</v>
      </c>
    </row>
    <row r="117" spans="1:9" x14ac:dyDescent="0.25">
      <c r="A117" s="40" t="s">
        <v>37</v>
      </c>
      <c r="B117" s="40">
        <v>2</v>
      </c>
      <c r="C117" s="41">
        <v>46064</v>
      </c>
      <c r="D117" s="40" t="s">
        <v>10</v>
      </c>
      <c r="E117" s="40" t="s">
        <v>108</v>
      </c>
      <c r="F117" s="40" t="s">
        <v>18</v>
      </c>
      <c r="G117" s="40" t="s">
        <v>72</v>
      </c>
      <c r="H117" s="42">
        <v>80</v>
      </c>
      <c r="I117" s="40" t="s">
        <v>21</v>
      </c>
    </row>
    <row r="118" spans="1:9" x14ac:dyDescent="0.25">
      <c r="A118" s="40" t="s">
        <v>37</v>
      </c>
      <c r="B118" s="40">
        <v>2</v>
      </c>
      <c r="C118" s="41">
        <v>46064</v>
      </c>
      <c r="D118" s="40" t="s">
        <v>10</v>
      </c>
      <c r="E118" s="40" t="s">
        <v>109</v>
      </c>
      <c r="F118" s="40" t="s">
        <v>12</v>
      </c>
      <c r="G118" s="40"/>
      <c r="H118" s="42">
        <v>28</v>
      </c>
      <c r="I118" s="40" t="s">
        <v>21</v>
      </c>
    </row>
    <row r="119" spans="1:9" x14ac:dyDescent="0.25">
      <c r="A119" s="40" t="s">
        <v>37</v>
      </c>
      <c r="B119" s="40">
        <v>2</v>
      </c>
      <c r="C119" s="41">
        <v>46065</v>
      </c>
      <c r="D119" s="40" t="s">
        <v>10</v>
      </c>
      <c r="E119" s="40" t="s">
        <v>110</v>
      </c>
      <c r="F119" s="40" t="s">
        <v>12</v>
      </c>
      <c r="G119" s="40"/>
      <c r="H119" s="42">
        <v>5</v>
      </c>
      <c r="I119" s="40" t="s">
        <v>13</v>
      </c>
    </row>
    <row r="120" spans="1:9" x14ac:dyDescent="0.25">
      <c r="A120" s="40" t="s">
        <v>37</v>
      </c>
      <c r="B120" s="40">
        <v>2</v>
      </c>
      <c r="C120" s="41">
        <v>46065</v>
      </c>
      <c r="D120" s="40" t="s">
        <v>10</v>
      </c>
      <c r="E120" s="40" t="s">
        <v>111</v>
      </c>
      <c r="F120" s="40" t="s">
        <v>12</v>
      </c>
      <c r="G120" s="40"/>
      <c r="H120" s="42">
        <v>5</v>
      </c>
      <c r="I120" s="40" t="s">
        <v>13</v>
      </c>
    </row>
    <row r="121" spans="1:9" x14ac:dyDescent="0.25">
      <c r="A121" s="40" t="s">
        <v>37</v>
      </c>
      <c r="B121" s="40">
        <v>2</v>
      </c>
      <c r="C121" s="41">
        <v>46065</v>
      </c>
      <c r="D121" s="40" t="s">
        <v>10</v>
      </c>
      <c r="E121" s="40" t="s">
        <v>112</v>
      </c>
      <c r="F121" s="40" t="s">
        <v>12</v>
      </c>
      <c r="G121" s="40"/>
      <c r="H121" s="42">
        <v>20</v>
      </c>
      <c r="I121" s="40" t="s">
        <v>13</v>
      </c>
    </row>
    <row r="122" spans="1:9" x14ac:dyDescent="0.25">
      <c r="A122" s="40" t="s">
        <v>37</v>
      </c>
      <c r="B122" s="40">
        <v>2</v>
      </c>
      <c r="C122" s="41">
        <v>46065</v>
      </c>
      <c r="D122" s="40" t="s">
        <v>10</v>
      </c>
      <c r="E122" s="40" t="s">
        <v>113</v>
      </c>
      <c r="F122" s="40" t="s">
        <v>12</v>
      </c>
      <c r="G122" s="40"/>
      <c r="H122" s="42">
        <v>25</v>
      </c>
      <c r="I122" s="40" t="s">
        <v>13</v>
      </c>
    </row>
    <row r="123" spans="1:9" x14ac:dyDescent="0.25">
      <c r="A123" s="40" t="s">
        <v>37</v>
      </c>
      <c r="B123" s="40">
        <v>2</v>
      </c>
      <c r="C123" s="41">
        <v>46065</v>
      </c>
      <c r="D123" s="40" t="s">
        <v>10</v>
      </c>
      <c r="E123" s="40" t="s">
        <v>31</v>
      </c>
      <c r="F123" s="40" t="s">
        <v>12</v>
      </c>
      <c r="G123" s="40"/>
      <c r="H123" s="42">
        <v>7</v>
      </c>
      <c r="I123" s="40" t="s">
        <v>13</v>
      </c>
    </row>
    <row r="124" spans="1:9" x14ac:dyDescent="0.25">
      <c r="A124" s="40" t="s">
        <v>37</v>
      </c>
      <c r="B124" s="40">
        <v>2</v>
      </c>
      <c r="C124" s="41">
        <v>46065</v>
      </c>
      <c r="D124" s="40" t="s">
        <v>10</v>
      </c>
      <c r="E124" s="40" t="s">
        <v>95</v>
      </c>
      <c r="F124" s="40" t="s">
        <v>12</v>
      </c>
      <c r="G124" s="40"/>
      <c r="H124" s="42">
        <v>11</v>
      </c>
      <c r="I124" s="40" t="s">
        <v>13</v>
      </c>
    </row>
    <row r="125" spans="1:9" x14ac:dyDescent="0.25">
      <c r="A125" s="40" t="s">
        <v>37</v>
      </c>
      <c r="B125" s="40">
        <v>2</v>
      </c>
      <c r="C125" s="41">
        <v>46065</v>
      </c>
      <c r="D125" s="40" t="s">
        <v>10</v>
      </c>
      <c r="E125" s="40" t="s">
        <v>114</v>
      </c>
      <c r="F125" s="40" t="s">
        <v>12</v>
      </c>
      <c r="G125" s="40"/>
      <c r="H125" s="42">
        <v>5</v>
      </c>
      <c r="I125" s="40" t="s">
        <v>13</v>
      </c>
    </row>
    <row r="126" spans="1:9" x14ac:dyDescent="0.25">
      <c r="A126" s="40" t="s">
        <v>37</v>
      </c>
      <c r="B126" s="40">
        <v>2</v>
      </c>
      <c r="C126" s="41">
        <v>46066</v>
      </c>
      <c r="D126" s="40" t="s">
        <v>10</v>
      </c>
      <c r="E126" s="40" t="s">
        <v>115</v>
      </c>
      <c r="F126" s="40" t="s">
        <v>12</v>
      </c>
      <c r="G126" s="40"/>
      <c r="H126" s="42">
        <v>40</v>
      </c>
      <c r="I126" s="40" t="s">
        <v>13</v>
      </c>
    </row>
    <row r="127" spans="1:9" x14ac:dyDescent="0.25">
      <c r="A127" s="40" t="s">
        <v>37</v>
      </c>
      <c r="B127" s="40">
        <v>2</v>
      </c>
      <c r="C127" s="41">
        <v>46066</v>
      </c>
      <c r="D127" s="40" t="s">
        <v>14</v>
      </c>
      <c r="E127" s="40" t="s">
        <v>116</v>
      </c>
      <c r="F127" s="40"/>
      <c r="G127" s="40"/>
      <c r="H127" s="42">
        <v>133</v>
      </c>
      <c r="I127" s="40" t="s">
        <v>13</v>
      </c>
    </row>
    <row r="128" spans="1:9" x14ac:dyDescent="0.25">
      <c r="A128" s="40" t="s">
        <v>37</v>
      </c>
      <c r="B128" s="40">
        <v>2</v>
      </c>
      <c r="C128" s="41">
        <v>46066</v>
      </c>
      <c r="D128" s="40" t="s">
        <v>10</v>
      </c>
      <c r="E128" s="40" t="s">
        <v>117</v>
      </c>
      <c r="F128" s="40" t="s">
        <v>18</v>
      </c>
      <c r="G128" s="40" t="s">
        <v>72</v>
      </c>
      <c r="H128" s="42">
        <v>40</v>
      </c>
      <c r="I128" s="40" t="s">
        <v>13</v>
      </c>
    </row>
    <row r="129" spans="1:9" x14ac:dyDescent="0.25">
      <c r="A129" s="40" t="s">
        <v>37</v>
      </c>
      <c r="B129" s="40">
        <v>2</v>
      </c>
      <c r="C129" s="41">
        <v>46066</v>
      </c>
      <c r="D129" s="40" t="s">
        <v>10</v>
      </c>
      <c r="E129" s="40" t="s">
        <v>118</v>
      </c>
      <c r="F129" s="40" t="s">
        <v>12</v>
      </c>
      <c r="G129" s="40"/>
      <c r="H129" s="42">
        <v>23</v>
      </c>
      <c r="I129" s="40" t="s">
        <v>13</v>
      </c>
    </row>
    <row r="130" spans="1:9" x14ac:dyDescent="0.25">
      <c r="A130" s="40" t="s">
        <v>37</v>
      </c>
      <c r="B130" s="40">
        <v>2</v>
      </c>
      <c r="C130" s="41">
        <v>46066</v>
      </c>
      <c r="D130" s="40" t="s">
        <v>10</v>
      </c>
      <c r="E130" s="40" t="s">
        <v>119</v>
      </c>
      <c r="F130" s="40" t="s">
        <v>12</v>
      </c>
      <c r="G130" s="40"/>
      <c r="H130" s="42">
        <v>5</v>
      </c>
      <c r="I130" s="40" t="s">
        <v>13</v>
      </c>
    </row>
    <row r="131" spans="1:9" x14ac:dyDescent="0.25">
      <c r="A131" s="40" t="s">
        <v>37</v>
      </c>
      <c r="B131" s="40">
        <v>2</v>
      </c>
      <c r="C131" s="41">
        <v>46066</v>
      </c>
      <c r="D131" s="40" t="s">
        <v>10</v>
      </c>
      <c r="E131" s="40" t="s">
        <v>120</v>
      </c>
      <c r="F131" s="40" t="s">
        <v>12</v>
      </c>
      <c r="G131" s="40"/>
      <c r="H131" s="42">
        <v>12</v>
      </c>
      <c r="I131" s="40" t="s">
        <v>13</v>
      </c>
    </row>
    <row r="132" spans="1:9" x14ac:dyDescent="0.25">
      <c r="A132" s="40" t="s">
        <v>37</v>
      </c>
      <c r="B132" s="40">
        <v>2</v>
      </c>
      <c r="C132" s="41">
        <v>46066</v>
      </c>
      <c r="D132" s="40" t="s">
        <v>10</v>
      </c>
      <c r="E132" s="40" t="s">
        <v>121</v>
      </c>
      <c r="F132" s="40" t="s">
        <v>12</v>
      </c>
      <c r="G132" s="40"/>
      <c r="H132" s="42">
        <v>30</v>
      </c>
      <c r="I132" s="40" t="s">
        <v>13</v>
      </c>
    </row>
    <row r="133" spans="1:9" x14ac:dyDescent="0.25">
      <c r="A133" s="40" t="s">
        <v>37</v>
      </c>
      <c r="B133" s="40">
        <v>2</v>
      </c>
      <c r="C133" s="41">
        <v>46066</v>
      </c>
      <c r="D133" s="40" t="s">
        <v>10</v>
      </c>
      <c r="E133" s="40" t="s">
        <v>122</v>
      </c>
      <c r="F133" s="40" t="s">
        <v>12</v>
      </c>
      <c r="G133" s="40"/>
      <c r="H133" s="42">
        <v>5</v>
      </c>
      <c r="I133" s="40" t="s">
        <v>13</v>
      </c>
    </row>
    <row r="134" spans="1:9" x14ac:dyDescent="0.25">
      <c r="A134" s="40" t="s">
        <v>37</v>
      </c>
      <c r="B134" s="40">
        <v>2</v>
      </c>
      <c r="C134" s="41">
        <v>46066</v>
      </c>
      <c r="D134" s="40" t="s">
        <v>10</v>
      </c>
      <c r="E134" s="40" t="s">
        <v>120</v>
      </c>
      <c r="F134" s="40" t="s">
        <v>12</v>
      </c>
      <c r="G134" s="40"/>
      <c r="H134" s="42">
        <v>5</v>
      </c>
      <c r="I134" s="40" t="s">
        <v>13</v>
      </c>
    </row>
    <row r="135" spans="1:9" x14ac:dyDescent="0.25">
      <c r="A135" s="40" t="s">
        <v>37</v>
      </c>
      <c r="B135" s="40">
        <v>2</v>
      </c>
      <c r="C135" s="41">
        <v>46066</v>
      </c>
      <c r="D135" s="40" t="s">
        <v>10</v>
      </c>
      <c r="E135" s="40" t="s">
        <v>123</v>
      </c>
      <c r="F135" s="40" t="s">
        <v>12</v>
      </c>
      <c r="G135" s="40"/>
      <c r="H135" s="42">
        <v>13</v>
      </c>
      <c r="I135" s="40" t="s">
        <v>13</v>
      </c>
    </row>
    <row r="136" spans="1:9" x14ac:dyDescent="0.25">
      <c r="A136" s="40" t="s">
        <v>37</v>
      </c>
      <c r="B136" s="40">
        <v>2</v>
      </c>
      <c r="C136" s="41">
        <v>46066</v>
      </c>
      <c r="D136" s="40" t="s">
        <v>10</v>
      </c>
      <c r="E136" s="40" t="s">
        <v>122</v>
      </c>
      <c r="F136" s="40" t="s">
        <v>12</v>
      </c>
      <c r="G136" s="40"/>
      <c r="H136" s="42">
        <v>5</v>
      </c>
      <c r="I136" s="40" t="s">
        <v>13</v>
      </c>
    </row>
    <row r="137" spans="1:9" x14ac:dyDescent="0.25">
      <c r="A137" s="40" t="s">
        <v>37</v>
      </c>
      <c r="B137" s="40">
        <v>2</v>
      </c>
      <c r="C137" s="41">
        <v>46067</v>
      </c>
      <c r="D137" s="40" t="s">
        <v>10</v>
      </c>
      <c r="E137" s="40" t="s">
        <v>124</v>
      </c>
      <c r="F137" s="40" t="s">
        <v>12</v>
      </c>
      <c r="G137" s="40"/>
      <c r="H137" s="42">
        <v>10</v>
      </c>
      <c r="I137" s="40" t="s">
        <v>13</v>
      </c>
    </row>
    <row r="138" spans="1:9" x14ac:dyDescent="0.25">
      <c r="A138" s="40" t="s">
        <v>37</v>
      </c>
      <c r="B138" s="40">
        <v>2</v>
      </c>
      <c r="C138" s="41">
        <v>46067</v>
      </c>
      <c r="D138" s="40" t="s">
        <v>14</v>
      </c>
      <c r="E138" s="40" t="s">
        <v>125</v>
      </c>
      <c r="F138" s="40"/>
      <c r="G138" s="40"/>
      <c r="H138" s="42">
        <v>39</v>
      </c>
      <c r="I138" s="40" t="s">
        <v>13</v>
      </c>
    </row>
    <row r="139" spans="1:9" x14ac:dyDescent="0.25">
      <c r="A139" s="40" t="s">
        <v>37</v>
      </c>
      <c r="B139" s="40">
        <v>2</v>
      </c>
      <c r="C139" s="41">
        <v>46067</v>
      </c>
      <c r="D139" s="40" t="s">
        <v>10</v>
      </c>
      <c r="E139" s="40" t="s">
        <v>126</v>
      </c>
      <c r="F139" s="40" t="s">
        <v>18</v>
      </c>
      <c r="G139" s="40" t="s">
        <v>72</v>
      </c>
      <c r="H139" s="42">
        <v>75</v>
      </c>
      <c r="I139" s="40" t="s">
        <v>13</v>
      </c>
    </row>
    <row r="140" spans="1:9" x14ac:dyDescent="0.25">
      <c r="A140" s="40" t="s">
        <v>37</v>
      </c>
      <c r="B140" s="40">
        <v>2</v>
      </c>
      <c r="C140" s="41">
        <v>46067</v>
      </c>
      <c r="D140" s="40" t="s">
        <v>10</v>
      </c>
      <c r="E140" s="40" t="s">
        <v>127</v>
      </c>
      <c r="F140" s="40" t="s">
        <v>18</v>
      </c>
      <c r="G140" s="40" t="s">
        <v>24</v>
      </c>
      <c r="H140" s="42">
        <v>43</v>
      </c>
      <c r="I140" s="40" t="s">
        <v>13</v>
      </c>
    </row>
    <row r="141" spans="1:9" x14ac:dyDescent="0.25">
      <c r="A141" s="40" t="s">
        <v>37</v>
      </c>
      <c r="B141" s="40">
        <v>2</v>
      </c>
      <c r="C141" s="41">
        <v>46067</v>
      </c>
      <c r="D141" s="40" t="s">
        <v>10</v>
      </c>
      <c r="E141" s="40" t="s">
        <v>128</v>
      </c>
      <c r="F141" s="40" t="s">
        <v>18</v>
      </c>
      <c r="G141" s="40" t="s">
        <v>72</v>
      </c>
      <c r="H141" s="42">
        <v>35</v>
      </c>
      <c r="I141" s="40" t="s">
        <v>13</v>
      </c>
    </row>
    <row r="142" spans="1:9" x14ac:dyDescent="0.25">
      <c r="A142" s="40" t="s">
        <v>37</v>
      </c>
      <c r="B142" s="40">
        <v>2</v>
      </c>
      <c r="C142" s="41">
        <v>46067</v>
      </c>
      <c r="D142" s="40" t="s">
        <v>10</v>
      </c>
      <c r="E142" s="40" t="s">
        <v>49</v>
      </c>
      <c r="F142" s="40" t="s">
        <v>18</v>
      </c>
      <c r="G142" s="40" t="s">
        <v>24</v>
      </c>
      <c r="H142" s="42">
        <v>30</v>
      </c>
      <c r="I142" s="40" t="s">
        <v>13</v>
      </c>
    </row>
    <row r="143" spans="1:9" x14ac:dyDescent="0.25">
      <c r="A143" s="40" t="s">
        <v>37</v>
      </c>
      <c r="B143" s="40">
        <v>2</v>
      </c>
      <c r="C143" s="41">
        <v>46067</v>
      </c>
      <c r="D143" s="40" t="s">
        <v>10</v>
      </c>
      <c r="E143" s="40" t="s">
        <v>129</v>
      </c>
      <c r="F143" s="40" t="s">
        <v>18</v>
      </c>
      <c r="G143" s="40" t="s">
        <v>88</v>
      </c>
      <c r="H143" s="42">
        <v>30</v>
      </c>
      <c r="I143" s="40" t="s">
        <v>13</v>
      </c>
    </row>
    <row r="144" spans="1:9" x14ac:dyDescent="0.25">
      <c r="A144" s="40" t="s">
        <v>37</v>
      </c>
      <c r="B144" s="40">
        <v>2</v>
      </c>
      <c r="C144" s="41">
        <v>46067</v>
      </c>
      <c r="D144" s="40" t="s">
        <v>10</v>
      </c>
      <c r="E144" s="40" t="s">
        <v>130</v>
      </c>
      <c r="F144" s="40" t="s">
        <v>18</v>
      </c>
      <c r="G144" s="40" t="s">
        <v>24</v>
      </c>
      <c r="H144" s="42">
        <v>95</v>
      </c>
      <c r="I144" s="40" t="s">
        <v>13</v>
      </c>
    </row>
    <row r="145" spans="1:9" x14ac:dyDescent="0.25">
      <c r="A145" s="40" t="s">
        <v>37</v>
      </c>
      <c r="B145" s="40">
        <v>2</v>
      </c>
      <c r="C145" s="41">
        <v>46068</v>
      </c>
      <c r="D145" s="40" t="s">
        <v>10</v>
      </c>
      <c r="E145" s="40" t="s">
        <v>131</v>
      </c>
      <c r="F145" s="40" t="s">
        <v>12</v>
      </c>
      <c r="G145" s="40"/>
      <c r="H145" s="42">
        <v>4</v>
      </c>
      <c r="I145" s="40" t="s">
        <v>13</v>
      </c>
    </row>
    <row r="146" spans="1:9" x14ac:dyDescent="0.25">
      <c r="A146" s="40" t="s">
        <v>37</v>
      </c>
      <c r="B146" s="40">
        <v>2</v>
      </c>
      <c r="C146" s="41">
        <v>46068</v>
      </c>
      <c r="D146" s="40" t="s">
        <v>10</v>
      </c>
      <c r="E146" s="40" t="s">
        <v>132</v>
      </c>
      <c r="F146" s="40" t="s">
        <v>12</v>
      </c>
      <c r="G146" s="40"/>
      <c r="H146" s="42">
        <v>30</v>
      </c>
      <c r="I146" s="40" t="s">
        <v>13</v>
      </c>
    </row>
    <row r="147" spans="1:9" x14ac:dyDescent="0.25">
      <c r="A147" s="40" t="s">
        <v>37</v>
      </c>
      <c r="B147" s="40">
        <v>2</v>
      </c>
      <c r="C147" s="41">
        <v>46068</v>
      </c>
      <c r="D147" s="40" t="s">
        <v>10</v>
      </c>
      <c r="E147" s="40" t="s">
        <v>45</v>
      </c>
      <c r="F147" s="40" t="s">
        <v>12</v>
      </c>
      <c r="G147" s="40"/>
      <c r="H147" s="42">
        <v>25</v>
      </c>
      <c r="I147" s="40" t="s">
        <v>13</v>
      </c>
    </row>
    <row r="148" spans="1:9" x14ac:dyDescent="0.25">
      <c r="A148" s="40" t="s">
        <v>37</v>
      </c>
      <c r="B148" s="40">
        <v>2</v>
      </c>
      <c r="C148" s="41">
        <v>46068</v>
      </c>
      <c r="D148" s="40" t="s">
        <v>10</v>
      </c>
      <c r="E148" s="40" t="s">
        <v>133</v>
      </c>
      <c r="F148" s="40" t="s">
        <v>18</v>
      </c>
      <c r="G148" s="40" t="s">
        <v>91</v>
      </c>
      <c r="H148" s="42">
        <v>140</v>
      </c>
      <c r="I148" s="40" t="s">
        <v>13</v>
      </c>
    </row>
    <row r="149" spans="1:9" x14ac:dyDescent="0.25">
      <c r="A149" s="40" t="s">
        <v>37</v>
      </c>
      <c r="B149" s="40">
        <v>2</v>
      </c>
      <c r="C149" s="41">
        <v>46069</v>
      </c>
      <c r="D149" s="40" t="s">
        <v>10</v>
      </c>
      <c r="E149" s="40" t="s">
        <v>134</v>
      </c>
      <c r="F149" s="40" t="s">
        <v>12</v>
      </c>
      <c r="G149" s="40"/>
      <c r="H149" s="42">
        <v>10</v>
      </c>
      <c r="I149" s="40" t="s">
        <v>13</v>
      </c>
    </row>
    <row r="150" spans="1:9" x14ac:dyDescent="0.25">
      <c r="A150" s="40" t="s">
        <v>37</v>
      </c>
      <c r="B150" s="40">
        <v>2</v>
      </c>
      <c r="C150" s="41">
        <v>46069</v>
      </c>
      <c r="D150" s="40" t="s">
        <v>10</v>
      </c>
      <c r="E150" s="40" t="s">
        <v>110</v>
      </c>
      <c r="F150" s="40" t="s">
        <v>12</v>
      </c>
      <c r="G150" s="40"/>
      <c r="H150" s="42">
        <v>5</v>
      </c>
      <c r="I150" s="40" t="s">
        <v>13</v>
      </c>
    </row>
    <row r="151" spans="1:9" x14ac:dyDescent="0.25">
      <c r="A151" s="40" t="s">
        <v>37</v>
      </c>
      <c r="B151" s="40">
        <v>2</v>
      </c>
      <c r="C151" s="41">
        <v>46069</v>
      </c>
      <c r="D151" s="40" t="s">
        <v>10</v>
      </c>
      <c r="E151" s="40" t="s">
        <v>26</v>
      </c>
      <c r="F151" s="40" t="s">
        <v>18</v>
      </c>
      <c r="G151" s="40" t="s">
        <v>26</v>
      </c>
      <c r="H151" s="42">
        <v>30</v>
      </c>
      <c r="I151" s="40" t="s">
        <v>21</v>
      </c>
    </row>
    <row r="152" spans="1:9" x14ac:dyDescent="0.25">
      <c r="A152" s="40" t="s">
        <v>37</v>
      </c>
      <c r="B152" s="40">
        <v>2</v>
      </c>
      <c r="C152" s="41">
        <v>46069</v>
      </c>
      <c r="D152" s="40" t="s">
        <v>10</v>
      </c>
      <c r="E152" s="40" t="s">
        <v>135</v>
      </c>
      <c r="F152" s="40" t="s">
        <v>18</v>
      </c>
      <c r="G152" s="40" t="s">
        <v>91</v>
      </c>
      <c r="H152" s="42">
        <v>100</v>
      </c>
      <c r="I152" s="40" t="s">
        <v>21</v>
      </c>
    </row>
    <row r="153" spans="1:9" x14ac:dyDescent="0.25">
      <c r="A153" s="40" t="s">
        <v>37</v>
      </c>
      <c r="B153" s="40">
        <v>2</v>
      </c>
      <c r="C153" s="41">
        <v>46069</v>
      </c>
      <c r="D153" s="40" t="s">
        <v>10</v>
      </c>
      <c r="E153" s="40" t="s">
        <v>31</v>
      </c>
      <c r="F153" s="40" t="s">
        <v>12</v>
      </c>
      <c r="G153" s="40"/>
      <c r="H153" s="42">
        <v>14</v>
      </c>
      <c r="I153" s="40" t="s">
        <v>13</v>
      </c>
    </row>
    <row r="154" spans="1:9" x14ac:dyDescent="0.25">
      <c r="A154" s="40" t="s">
        <v>37</v>
      </c>
      <c r="B154" s="40">
        <v>2</v>
      </c>
      <c r="C154" s="41">
        <v>46069</v>
      </c>
      <c r="D154" s="40" t="s">
        <v>10</v>
      </c>
      <c r="E154" s="40" t="s">
        <v>136</v>
      </c>
      <c r="F154" s="40" t="s">
        <v>18</v>
      </c>
      <c r="G154" s="40" t="s">
        <v>19</v>
      </c>
      <c r="H154" s="42">
        <v>15</v>
      </c>
      <c r="I154" s="40" t="s">
        <v>13</v>
      </c>
    </row>
    <row r="155" spans="1:9" x14ac:dyDescent="0.25">
      <c r="A155" s="40" t="s">
        <v>37</v>
      </c>
      <c r="B155" s="40">
        <v>2</v>
      </c>
      <c r="C155" s="41">
        <v>46069</v>
      </c>
      <c r="D155" s="40" t="s">
        <v>10</v>
      </c>
      <c r="E155" s="40" t="s">
        <v>136</v>
      </c>
      <c r="F155" s="40" t="s">
        <v>18</v>
      </c>
      <c r="G155" s="40" t="s">
        <v>19</v>
      </c>
      <c r="H155" s="42">
        <v>20</v>
      </c>
      <c r="I155" s="40" t="s">
        <v>13</v>
      </c>
    </row>
    <row r="156" spans="1:9" x14ac:dyDescent="0.25">
      <c r="A156" s="40" t="s">
        <v>37</v>
      </c>
      <c r="B156" s="40">
        <v>2</v>
      </c>
      <c r="C156" s="41">
        <v>46069</v>
      </c>
      <c r="D156" s="40" t="s">
        <v>10</v>
      </c>
      <c r="E156" s="40" t="s">
        <v>45</v>
      </c>
      <c r="F156" s="40" t="s">
        <v>12</v>
      </c>
      <c r="G156" s="40"/>
      <c r="H156" s="42">
        <v>10</v>
      </c>
      <c r="I156" s="40" t="s">
        <v>13</v>
      </c>
    </row>
    <row r="157" spans="1:9" x14ac:dyDescent="0.25">
      <c r="A157" s="40" t="s">
        <v>37</v>
      </c>
      <c r="B157" s="40">
        <v>2</v>
      </c>
      <c r="C157" s="41">
        <v>46070</v>
      </c>
      <c r="D157" s="40" t="s">
        <v>10</v>
      </c>
      <c r="E157" s="40" t="s">
        <v>137</v>
      </c>
      <c r="F157" s="40" t="s">
        <v>12</v>
      </c>
      <c r="G157" s="40"/>
      <c r="H157" s="42">
        <v>11.5</v>
      </c>
      <c r="I157" s="40" t="s">
        <v>13</v>
      </c>
    </row>
    <row r="158" spans="1:9" x14ac:dyDescent="0.25">
      <c r="A158" s="40" t="s">
        <v>37</v>
      </c>
      <c r="B158" s="40">
        <v>2</v>
      </c>
      <c r="C158" s="41">
        <v>46070</v>
      </c>
      <c r="D158" s="40" t="s">
        <v>14</v>
      </c>
      <c r="E158" s="40" t="s">
        <v>138</v>
      </c>
      <c r="F158" s="40"/>
      <c r="G158" s="40"/>
      <c r="H158" s="42">
        <v>8</v>
      </c>
      <c r="I158" s="40" t="s">
        <v>13</v>
      </c>
    </row>
    <row r="159" spans="1:9" x14ac:dyDescent="0.25">
      <c r="A159" s="40" t="s">
        <v>37</v>
      </c>
      <c r="B159" s="40">
        <v>2</v>
      </c>
      <c r="C159" s="41">
        <v>46070</v>
      </c>
      <c r="D159" s="40" t="s">
        <v>10</v>
      </c>
      <c r="E159" s="40" t="s">
        <v>139</v>
      </c>
      <c r="F159" s="40" t="s">
        <v>12</v>
      </c>
      <c r="G159" s="40"/>
      <c r="H159" s="42">
        <v>15</v>
      </c>
      <c r="I159" s="40" t="s">
        <v>13</v>
      </c>
    </row>
    <row r="160" spans="1:9" x14ac:dyDescent="0.25">
      <c r="A160" s="40" t="s">
        <v>37</v>
      </c>
      <c r="B160" s="40">
        <v>2</v>
      </c>
      <c r="C160" s="41">
        <v>46070</v>
      </c>
      <c r="D160" s="40" t="s">
        <v>10</v>
      </c>
      <c r="E160" s="40" t="s">
        <v>140</v>
      </c>
      <c r="F160" s="40" t="s">
        <v>12</v>
      </c>
      <c r="G160" s="40"/>
      <c r="H160" s="42">
        <v>4</v>
      </c>
      <c r="I160" s="40" t="s">
        <v>13</v>
      </c>
    </row>
    <row r="161" spans="1:9" x14ac:dyDescent="0.25">
      <c r="A161" s="40" t="s">
        <v>37</v>
      </c>
      <c r="B161" s="40">
        <v>2</v>
      </c>
      <c r="C161" s="41">
        <v>46070</v>
      </c>
      <c r="D161" s="40" t="s">
        <v>10</v>
      </c>
      <c r="E161" s="40" t="s">
        <v>139</v>
      </c>
      <c r="F161" s="40" t="s">
        <v>12</v>
      </c>
      <c r="G161" s="40"/>
      <c r="H161" s="42">
        <v>15</v>
      </c>
      <c r="I161" s="40" t="s">
        <v>21</v>
      </c>
    </row>
    <row r="162" spans="1:9" x14ac:dyDescent="0.25">
      <c r="A162" s="40" t="s">
        <v>37</v>
      </c>
      <c r="B162" s="40">
        <v>2</v>
      </c>
      <c r="C162" s="41">
        <v>46070</v>
      </c>
      <c r="D162" s="40" t="s">
        <v>10</v>
      </c>
      <c r="E162" s="40" t="s">
        <v>119</v>
      </c>
      <c r="F162" s="40" t="s">
        <v>12</v>
      </c>
      <c r="G162" s="40"/>
      <c r="H162" s="42">
        <v>5</v>
      </c>
      <c r="I162" s="40" t="s">
        <v>13</v>
      </c>
    </row>
    <row r="163" spans="1:9" x14ac:dyDescent="0.25">
      <c r="A163" s="40" t="s">
        <v>37</v>
      </c>
      <c r="B163" s="40">
        <v>2</v>
      </c>
      <c r="C163" s="41">
        <v>46070</v>
      </c>
      <c r="D163" s="40" t="s">
        <v>10</v>
      </c>
      <c r="E163" s="40" t="s">
        <v>141</v>
      </c>
      <c r="F163" s="40" t="s">
        <v>12</v>
      </c>
      <c r="G163" s="40"/>
      <c r="H163" s="42">
        <v>5</v>
      </c>
      <c r="I163" s="40" t="s">
        <v>13</v>
      </c>
    </row>
    <row r="164" spans="1:9" x14ac:dyDescent="0.25">
      <c r="A164" s="40" t="s">
        <v>37</v>
      </c>
      <c r="B164" s="40">
        <v>2</v>
      </c>
      <c r="C164" s="41">
        <v>46070</v>
      </c>
      <c r="D164" s="40" t="s">
        <v>10</v>
      </c>
      <c r="E164" s="40" t="s">
        <v>30</v>
      </c>
      <c r="F164" s="40" t="s">
        <v>18</v>
      </c>
      <c r="G164" s="40" t="s">
        <v>30</v>
      </c>
      <c r="H164" s="42">
        <v>25</v>
      </c>
      <c r="I164" s="40" t="s">
        <v>13</v>
      </c>
    </row>
    <row r="165" spans="1:9" x14ac:dyDescent="0.25">
      <c r="A165" s="40" t="s">
        <v>37</v>
      </c>
      <c r="B165" s="40">
        <v>2</v>
      </c>
      <c r="C165" s="41">
        <v>46071</v>
      </c>
      <c r="D165" s="40" t="s">
        <v>10</v>
      </c>
      <c r="E165" s="40" t="s">
        <v>142</v>
      </c>
      <c r="F165" s="40" t="s">
        <v>18</v>
      </c>
      <c r="G165" s="40" t="s">
        <v>91</v>
      </c>
      <c r="H165" s="42">
        <v>80</v>
      </c>
      <c r="I165" s="40" t="s">
        <v>13</v>
      </c>
    </row>
    <row r="166" spans="1:9" x14ac:dyDescent="0.25">
      <c r="A166" s="40" t="s">
        <v>37</v>
      </c>
      <c r="B166" s="40">
        <v>2</v>
      </c>
      <c r="C166" s="41">
        <v>46071</v>
      </c>
      <c r="D166" s="40" t="s">
        <v>10</v>
      </c>
      <c r="E166" s="40" t="s">
        <v>143</v>
      </c>
      <c r="F166" s="40" t="s">
        <v>12</v>
      </c>
      <c r="G166" s="40"/>
      <c r="H166" s="42">
        <v>20</v>
      </c>
      <c r="I166" s="40" t="s">
        <v>13</v>
      </c>
    </row>
    <row r="167" spans="1:9" x14ac:dyDescent="0.25">
      <c r="A167" s="40" t="s">
        <v>37</v>
      </c>
      <c r="B167" s="40">
        <v>2</v>
      </c>
      <c r="C167" s="41">
        <v>46072</v>
      </c>
      <c r="D167" s="40" t="s">
        <v>10</v>
      </c>
      <c r="E167" s="40" t="s">
        <v>44</v>
      </c>
      <c r="F167" s="40" t="s">
        <v>12</v>
      </c>
      <c r="G167" s="40"/>
      <c r="H167" s="42">
        <v>5</v>
      </c>
      <c r="I167" s="40" t="s">
        <v>13</v>
      </c>
    </row>
    <row r="168" spans="1:9" x14ac:dyDescent="0.25">
      <c r="A168" s="40" t="s">
        <v>37</v>
      </c>
      <c r="B168" s="40">
        <v>2</v>
      </c>
      <c r="C168" s="41">
        <v>46072</v>
      </c>
      <c r="D168" s="40" t="s">
        <v>10</v>
      </c>
      <c r="E168" s="40" t="s">
        <v>144</v>
      </c>
      <c r="F168" s="40" t="s">
        <v>12</v>
      </c>
      <c r="G168" s="40"/>
      <c r="H168" s="42">
        <v>20</v>
      </c>
      <c r="I168" s="40" t="s">
        <v>13</v>
      </c>
    </row>
    <row r="169" spans="1:9" x14ac:dyDescent="0.25">
      <c r="A169" s="40" t="s">
        <v>37</v>
      </c>
      <c r="B169" s="40">
        <v>2</v>
      </c>
      <c r="C169" s="41">
        <v>46072</v>
      </c>
      <c r="D169" s="40" t="s">
        <v>10</v>
      </c>
      <c r="E169" s="40" t="s">
        <v>119</v>
      </c>
      <c r="F169" s="40" t="s">
        <v>12</v>
      </c>
      <c r="G169" s="40"/>
      <c r="H169" s="42">
        <v>5</v>
      </c>
      <c r="I169" s="40" t="s">
        <v>13</v>
      </c>
    </row>
    <row r="170" spans="1:9" x14ac:dyDescent="0.25">
      <c r="A170" s="40" t="s">
        <v>37</v>
      </c>
      <c r="B170" s="40">
        <v>2</v>
      </c>
      <c r="C170" s="41">
        <v>46072</v>
      </c>
      <c r="D170" s="40" t="s">
        <v>10</v>
      </c>
      <c r="E170" s="40" t="s">
        <v>44</v>
      </c>
      <c r="F170" s="40" t="s">
        <v>12</v>
      </c>
      <c r="G170" s="40"/>
      <c r="H170" s="42">
        <v>10</v>
      </c>
      <c r="I170" s="40" t="s">
        <v>13</v>
      </c>
    </row>
    <row r="171" spans="1:9" x14ac:dyDescent="0.25">
      <c r="A171" s="40" t="s">
        <v>37</v>
      </c>
      <c r="B171" s="40">
        <v>2</v>
      </c>
      <c r="C171" s="41">
        <v>46073</v>
      </c>
      <c r="D171" s="40" t="s">
        <v>10</v>
      </c>
      <c r="E171" s="40" t="s">
        <v>145</v>
      </c>
      <c r="F171" s="40" t="s">
        <v>18</v>
      </c>
      <c r="G171" s="40" t="s">
        <v>91</v>
      </c>
      <c r="H171" s="42">
        <v>120</v>
      </c>
      <c r="I171" s="40" t="s">
        <v>13</v>
      </c>
    </row>
    <row r="172" spans="1:9" x14ac:dyDescent="0.25">
      <c r="A172" s="40" t="s">
        <v>37</v>
      </c>
      <c r="B172" s="40">
        <v>2</v>
      </c>
      <c r="C172" s="41">
        <v>46073</v>
      </c>
      <c r="D172" s="40" t="s">
        <v>10</v>
      </c>
      <c r="E172" s="40" t="s">
        <v>146</v>
      </c>
      <c r="F172" s="40" t="s">
        <v>12</v>
      </c>
      <c r="G172" s="40"/>
      <c r="H172" s="42">
        <v>11.5</v>
      </c>
      <c r="I172" s="40" t="s">
        <v>13</v>
      </c>
    </row>
    <row r="173" spans="1:9" x14ac:dyDescent="0.25">
      <c r="A173" s="40" t="s">
        <v>37</v>
      </c>
      <c r="B173" s="40">
        <v>2</v>
      </c>
      <c r="C173" s="41">
        <v>46073</v>
      </c>
      <c r="D173" s="40" t="s">
        <v>10</v>
      </c>
      <c r="E173" s="40" t="s">
        <v>147</v>
      </c>
      <c r="F173" s="40" t="s">
        <v>12</v>
      </c>
      <c r="G173" s="40"/>
      <c r="H173" s="42">
        <v>6</v>
      </c>
      <c r="I173" s="40" t="s">
        <v>13</v>
      </c>
    </row>
    <row r="174" spans="1:9" x14ac:dyDescent="0.25">
      <c r="A174" s="40" t="s">
        <v>37</v>
      </c>
      <c r="B174" s="40">
        <v>2</v>
      </c>
      <c r="C174" s="41">
        <v>46073</v>
      </c>
      <c r="D174" s="40" t="s">
        <v>10</v>
      </c>
      <c r="E174" s="40" t="s">
        <v>39</v>
      </c>
      <c r="F174" s="40" t="s">
        <v>12</v>
      </c>
      <c r="G174" s="40"/>
      <c r="H174" s="42">
        <v>25</v>
      </c>
      <c r="I174" s="40" t="s">
        <v>13</v>
      </c>
    </row>
    <row r="175" spans="1:9" x14ac:dyDescent="0.25">
      <c r="A175" s="40" t="s">
        <v>37</v>
      </c>
      <c r="B175" s="40">
        <v>2</v>
      </c>
      <c r="C175" s="41">
        <v>46073</v>
      </c>
      <c r="D175" s="40" t="s">
        <v>10</v>
      </c>
      <c r="E175" s="40" t="s">
        <v>19</v>
      </c>
      <c r="F175" s="40" t="s">
        <v>18</v>
      </c>
      <c r="G175" s="40" t="s">
        <v>19</v>
      </c>
      <c r="H175" s="42">
        <v>60</v>
      </c>
      <c r="I175" s="40" t="s">
        <v>21</v>
      </c>
    </row>
    <row r="176" spans="1:9" x14ac:dyDescent="0.25">
      <c r="A176" s="40" t="s">
        <v>37</v>
      </c>
      <c r="B176" s="40">
        <v>2</v>
      </c>
      <c r="C176" s="41">
        <v>46073</v>
      </c>
      <c r="D176" s="40" t="s">
        <v>10</v>
      </c>
      <c r="E176" s="40" t="s">
        <v>148</v>
      </c>
      <c r="F176" s="40" t="s">
        <v>12</v>
      </c>
      <c r="G176" s="40"/>
      <c r="H176" s="42">
        <v>30</v>
      </c>
      <c r="I176" s="40" t="s">
        <v>21</v>
      </c>
    </row>
    <row r="177" spans="1:9" x14ac:dyDescent="0.25">
      <c r="A177" s="40" t="s">
        <v>37</v>
      </c>
      <c r="B177" s="40">
        <v>2</v>
      </c>
      <c r="C177" s="41">
        <v>46074</v>
      </c>
      <c r="D177" s="40" t="s">
        <v>10</v>
      </c>
      <c r="E177" s="40" t="s">
        <v>149</v>
      </c>
      <c r="F177" s="40" t="s">
        <v>12</v>
      </c>
      <c r="G177" s="40"/>
      <c r="H177" s="42">
        <v>300</v>
      </c>
      <c r="I177" s="40" t="s">
        <v>13</v>
      </c>
    </row>
    <row r="178" spans="1:9" x14ac:dyDescent="0.25">
      <c r="A178" s="40" t="s">
        <v>37</v>
      </c>
      <c r="B178" s="40">
        <v>2</v>
      </c>
      <c r="C178" s="41">
        <v>46074</v>
      </c>
      <c r="D178" s="40" t="s">
        <v>10</v>
      </c>
      <c r="E178" s="40" t="s">
        <v>150</v>
      </c>
      <c r="F178" s="40" t="s">
        <v>12</v>
      </c>
      <c r="G178" s="40"/>
      <c r="H178" s="42">
        <v>33</v>
      </c>
      <c r="I178" s="40" t="s">
        <v>13</v>
      </c>
    </row>
    <row r="179" spans="1:9" x14ac:dyDescent="0.25">
      <c r="A179" s="40" t="s">
        <v>37</v>
      </c>
      <c r="B179" s="40">
        <v>2</v>
      </c>
      <c r="C179" s="41">
        <v>46074</v>
      </c>
      <c r="D179" s="40" t="s">
        <v>10</v>
      </c>
      <c r="E179" s="40" t="s">
        <v>24</v>
      </c>
      <c r="F179" s="40" t="s">
        <v>18</v>
      </c>
      <c r="G179" s="40" t="s">
        <v>24</v>
      </c>
      <c r="H179" s="42">
        <v>40</v>
      </c>
      <c r="I179" s="40" t="s">
        <v>13</v>
      </c>
    </row>
    <row r="180" spans="1:9" x14ac:dyDescent="0.25">
      <c r="A180" s="40" t="s">
        <v>37</v>
      </c>
      <c r="B180" s="40">
        <v>2</v>
      </c>
      <c r="C180" s="41">
        <v>46074</v>
      </c>
      <c r="D180" s="40" t="s">
        <v>10</v>
      </c>
      <c r="E180" s="40" t="s">
        <v>24</v>
      </c>
      <c r="F180" s="40" t="s">
        <v>18</v>
      </c>
      <c r="G180" s="40" t="s">
        <v>24</v>
      </c>
      <c r="H180" s="42">
        <v>60</v>
      </c>
      <c r="I180" s="40" t="s">
        <v>13</v>
      </c>
    </row>
    <row r="181" spans="1:9" x14ac:dyDescent="0.25">
      <c r="A181" s="40" t="s">
        <v>37</v>
      </c>
      <c r="B181" s="40">
        <v>2</v>
      </c>
      <c r="C181" s="41">
        <v>46074</v>
      </c>
      <c r="D181" s="40" t="s">
        <v>10</v>
      </c>
      <c r="E181" s="40" t="s">
        <v>151</v>
      </c>
      <c r="F181" s="40" t="s">
        <v>12</v>
      </c>
      <c r="G181" s="40"/>
      <c r="H181" s="42">
        <v>45</v>
      </c>
      <c r="I181" s="40" t="s">
        <v>13</v>
      </c>
    </row>
    <row r="182" spans="1:9" x14ac:dyDescent="0.25">
      <c r="A182" s="40" t="s">
        <v>37</v>
      </c>
      <c r="B182" s="40">
        <v>2</v>
      </c>
      <c r="C182" s="41">
        <v>46074</v>
      </c>
      <c r="D182" s="40" t="s">
        <v>10</v>
      </c>
      <c r="E182" s="40" t="s">
        <v>24</v>
      </c>
      <c r="F182" s="40" t="s">
        <v>18</v>
      </c>
      <c r="G182" s="40" t="s">
        <v>24</v>
      </c>
      <c r="H182" s="42">
        <v>35</v>
      </c>
      <c r="I182" s="40" t="s">
        <v>13</v>
      </c>
    </row>
    <row r="183" spans="1:9" x14ac:dyDescent="0.25">
      <c r="A183" s="40" t="s">
        <v>37</v>
      </c>
      <c r="B183" s="40">
        <v>2</v>
      </c>
      <c r="C183" s="41">
        <v>46074</v>
      </c>
      <c r="D183" s="40" t="s">
        <v>10</v>
      </c>
      <c r="E183" s="40" t="s">
        <v>24</v>
      </c>
      <c r="F183" s="40" t="s">
        <v>18</v>
      </c>
      <c r="G183" s="40" t="s">
        <v>24</v>
      </c>
      <c r="H183" s="42">
        <v>35</v>
      </c>
      <c r="I183" s="40" t="s">
        <v>13</v>
      </c>
    </row>
    <row r="184" spans="1:9" x14ac:dyDescent="0.25">
      <c r="A184" s="40" t="s">
        <v>37</v>
      </c>
      <c r="B184" s="40">
        <v>2</v>
      </c>
      <c r="C184" s="41">
        <v>46074</v>
      </c>
      <c r="D184" s="40" t="s">
        <v>10</v>
      </c>
      <c r="E184" s="40" t="s">
        <v>24</v>
      </c>
      <c r="F184" s="40" t="s">
        <v>18</v>
      </c>
      <c r="G184" s="40" t="s">
        <v>24</v>
      </c>
      <c r="H184" s="42">
        <v>35</v>
      </c>
      <c r="I184" s="40" t="s">
        <v>13</v>
      </c>
    </row>
    <row r="185" spans="1:9" x14ac:dyDescent="0.25">
      <c r="A185" s="40" t="s">
        <v>37</v>
      </c>
      <c r="B185" s="40">
        <v>2</v>
      </c>
      <c r="C185" s="41">
        <v>46075</v>
      </c>
      <c r="D185" s="40" t="s">
        <v>10</v>
      </c>
      <c r="E185" s="40" t="s">
        <v>152</v>
      </c>
      <c r="F185" s="40" t="s">
        <v>12</v>
      </c>
      <c r="G185" s="40"/>
      <c r="H185" s="42">
        <v>100</v>
      </c>
      <c r="I185" s="40" t="s">
        <v>21</v>
      </c>
    </row>
    <row r="186" spans="1:9" x14ac:dyDescent="0.25">
      <c r="A186" s="40" t="s">
        <v>37</v>
      </c>
      <c r="B186" s="40">
        <v>2</v>
      </c>
      <c r="C186" s="41">
        <v>46075</v>
      </c>
      <c r="D186" s="40" t="s">
        <v>10</v>
      </c>
      <c r="E186" s="40" t="s">
        <v>153</v>
      </c>
      <c r="F186" s="40" t="s">
        <v>18</v>
      </c>
      <c r="G186" s="40" t="s">
        <v>26</v>
      </c>
      <c r="H186" s="42">
        <v>70</v>
      </c>
      <c r="I186" s="40" t="s">
        <v>13</v>
      </c>
    </row>
    <row r="187" spans="1:9" x14ac:dyDescent="0.25">
      <c r="A187" s="40" t="s">
        <v>37</v>
      </c>
      <c r="B187" s="40">
        <v>2</v>
      </c>
      <c r="C187" s="41">
        <v>46075</v>
      </c>
      <c r="D187" s="40" t="s">
        <v>10</v>
      </c>
      <c r="E187" s="40" t="s">
        <v>24</v>
      </c>
      <c r="F187" s="40" t="s">
        <v>18</v>
      </c>
      <c r="G187" s="40" t="s">
        <v>24</v>
      </c>
      <c r="H187" s="42">
        <v>35</v>
      </c>
      <c r="I187" s="40" t="s">
        <v>21</v>
      </c>
    </row>
    <row r="188" spans="1:9" x14ac:dyDescent="0.25">
      <c r="A188" s="40" t="s">
        <v>37</v>
      </c>
      <c r="B188" s="40">
        <v>2</v>
      </c>
      <c r="C188" s="41">
        <v>46075</v>
      </c>
      <c r="D188" s="40" t="s">
        <v>10</v>
      </c>
      <c r="E188" s="40" t="s">
        <v>154</v>
      </c>
      <c r="F188" s="40" t="s">
        <v>12</v>
      </c>
      <c r="G188" s="40"/>
      <c r="H188" s="42">
        <v>20</v>
      </c>
      <c r="I188" s="40" t="s">
        <v>13</v>
      </c>
    </row>
    <row r="189" spans="1:9" x14ac:dyDescent="0.25">
      <c r="A189" s="40" t="s">
        <v>37</v>
      </c>
      <c r="B189" s="40">
        <v>2</v>
      </c>
      <c r="C189" s="41">
        <v>46076</v>
      </c>
      <c r="D189" s="40" t="s">
        <v>10</v>
      </c>
      <c r="E189" s="40" t="s">
        <v>26</v>
      </c>
      <c r="F189" s="40" t="s">
        <v>18</v>
      </c>
      <c r="G189" s="40" t="s">
        <v>26</v>
      </c>
      <c r="H189" s="42">
        <v>60</v>
      </c>
      <c r="I189" s="40" t="s">
        <v>13</v>
      </c>
    </row>
    <row r="190" spans="1:9" x14ac:dyDescent="0.25">
      <c r="A190" s="40" t="s">
        <v>37</v>
      </c>
      <c r="B190" s="40">
        <v>2</v>
      </c>
      <c r="C190" s="41">
        <v>46076</v>
      </c>
      <c r="D190" s="40" t="s">
        <v>10</v>
      </c>
      <c r="E190" s="40" t="s">
        <v>152</v>
      </c>
      <c r="F190" s="40" t="s">
        <v>12</v>
      </c>
      <c r="G190" s="40"/>
      <c r="H190" s="42">
        <v>70</v>
      </c>
      <c r="I190" s="40" t="s">
        <v>13</v>
      </c>
    </row>
    <row r="191" spans="1:9" x14ac:dyDescent="0.25">
      <c r="A191" s="40" t="s">
        <v>37</v>
      </c>
      <c r="B191" s="40">
        <v>2</v>
      </c>
      <c r="C191" s="41">
        <v>46076</v>
      </c>
      <c r="D191" s="40" t="s">
        <v>10</v>
      </c>
      <c r="E191" s="40" t="s">
        <v>155</v>
      </c>
      <c r="F191" s="40" t="s">
        <v>12</v>
      </c>
      <c r="G191" s="40"/>
      <c r="H191" s="42">
        <v>14</v>
      </c>
      <c r="I191" s="40" t="s">
        <v>13</v>
      </c>
    </row>
    <row r="192" spans="1:9" x14ac:dyDescent="0.25">
      <c r="A192" s="40" t="s">
        <v>37</v>
      </c>
      <c r="B192" s="40">
        <v>2</v>
      </c>
      <c r="C192" s="41">
        <v>46076</v>
      </c>
      <c r="D192" s="40" t="s">
        <v>10</v>
      </c>
      <c r="E192" s="40" t="s">
        <v>111</v>
      </c>
      <c r="F192" s="40" t="s">
        <v>12</v>
      </c>
      <c r="G192" s="40"/>
      <c r="H192" s="42">
        <v>5</v>
      </c>
      <c r="I192" s="40" t="s">
        <v>13</v>
      </c>
    </row>
    <row r="193" spans="1:9" x14ac:dyDescent="0.25">
      <c r="A193" s="40" t="s">
        <v>37</v>
      </c>
      <c r="B193" s="40">
        <v>2</v>
      </c>
      <c r="C193" s="41">
        <v>46077</v>
      </c>
      <c r="D193" s="40" t="s">
        <v>10</v>
      </c>
      <c r="E193" s="40" t="s">
        <v>26</v>
      </c>
      <c r="F193" s="40" t="s">
        <v>18</v>
      </c>
      <c r="G193" s="40" t="s">
        <v>26</v>
      </c>
      <c r="H193" s="42">
        <v>60</v>
      </c>
      <c r="I193" s="40" t="s">
        <v>13</v>
      </c>
    </row>
    <row r="194" spans="1:9" x14ac:dyDescent="0.25">
      <c r="A194" s="40" t="s">
        <v>37</v>
      </c>
      <c r="B194" s="40">
        <v>2</v>
      </c>
      <c r="C194" s="41">
        <v>46077</v>
      </c>
      <c r="D194" s="40" t="s">
        <v>10</v>
      </c>
      <c r="E194" s="40" t="s">
        <v>156</v>
      </c>
      <c r="F194" s="40" t="s">
        <v>18</v>
      </c>
      <c r="G194" s="40" t="s">
        <v>72</v>
      </c>
      <c r="H194" s="42">
        <v>40</v>
      </c>
      <c r="I194" s="40" t="s">
        <v>13</v>
      </c>
    </row>
    <row r="195" spans="1:9" x14ac:dyDescent="0.25">
      <c r="A195" s="40" t="s">
        <v>37</v>
      </c>
      <c r="B195" s="40">
        <v>2</v>
      </c>
      <c r="C195" s="41">
        <v>46077</v>
      </c>
      <c r="D195" s="40" t="s">
        <v>10</v>
      </c>
      <c r="E195" s="40" t="s">
        <v>157</v>
      </c>
      <c r="F195" s="40" t="s">
        <v>18</v>
      </c>
      <c r="G195" s="40" t="s">
        <v>72</v>
      </c>
      <c r="H195" s="42">
        <v>40</v>
      </c>
      <c r="I195" s="40" t="s">
        <v>13</v>
      </c>
    </row>
    <row r="196" spans="1:9" x14ac:dyDescent="0.25">
      <c r="A196" s="40" t="s">
        <v>37</v>
      </c>
      <c r="B196" s="40">
        <v>2</v>
      </c>
      <c r="C196" s="41">
        <v>46077</v>
      </c>
      <c r="D196" s="40" t="s">
        <v>10</v>
      </c>
      <c r="E196" s="40" t="s">
        <v>157</v>
      </c>
      <c r="F196" s="40" t="s">
        <v>18</v>
      </c>
      <c r="G196" s="40" t="s">
        <v>72</v>
      </c>
      <c r="H196" s="42">
        <v>40</v>
      </c>
      <c r="I196" s="40" t="s">
        <v>13</v>
      </c>
    </row>
    <row r="197" spans="1:9" x14ac:dyDescent="0.25">
      <c r="A197" s="40" t="s">
        <v>37</v>
      </c>
      <c r="B197" s="40">
        <v>2</v>
      </c>
      <c r="C197" s="41">
        <v>46077</v>
      </c>
      <c r="D197" s="40" t="s">
        <v>10</v>
      </c>
      <c r="E197" s="40" t="s">
        <v>158</v>
      </c>
      <c r="F197" s="40" t="s">
        <v>12</v>
      </c>
      <c r="G197" s="40"/>
      <c r="H197" s="42">
        <v>20</v>
      </c>
      <c r="I197" s="40" t="s">
        <v>13</v>
      </c>
    </row>
    <row r="198" spans="1:9" x14ac:dyDescent="0.25">
      <c r="A198" s="40" t="s">
        <v>37</v>
      </c>
      <c r="B198" s="40">
        <v>2</v>
      </c>
      <c r="C198" s="41">
        <v>46077</v>
      </c>
      <c r="D198" s="40" t="s">
        <v>10</v>
      </c>
      <c r="E198" s="40" t="s">
        <v>159</v>
      </c>
      <c r="F198" s="40" t="s">
        <v>12</v>
      </c>
      <c r="G198" s="40"/>
      <c r="H198" s="42">
        <v>6</v>
      </c>
      <c r="I198" s="40" t="s">
        <v>13</v>
      </c>
    </row>
    <row r="199" spans="1:9" x14ac:dyDescent="0.25">
      <c r="A199" s="40" t="s">
        <v>37</v>
      </c>
      <c r="B199" s="40">
        <v>2</v>
      </c>
      <c r="C199" s="41">
        <v>46077</v>
      </c>
      <c r="D199" s="40" t="s">
        <v>10</v>
      </c>
      <c r="E199" s="40" t="s">
        <v>143</v>
      </c>
      <c r="F199" s="40" t="s">
        <v>12</v>
      </c>
      <c r="G199" s="40"/>
      <c r="H199" s="42">
        <v>10</v>
      </c>
      <c r="I199" s="40" t="s">
        <v>13</v>
      </c>
    </row>
    <row r="200" spans="1:9" x14ac:dyDescent="0.25">
      <c r="A200" s="40" t="s">
        <v>37</v>
      </c>
      <c r="B200" s="40">
        <v>2</v>
      </c>
      <c r="C200" s="41">
        <v>46077</v>
      </c>
      <c r="D200" s="40" t="s">
        <v>10</v>
      </c>
      <c r="E200" s="40" t="s">
        <v>160</v>
      </c>
      <c r="F200" s="40" t="s">
        <v>12</v>
      </c>
      <c r="G200" s="40"/>
      <c r="H200" s="42">
        <v>25</v>
      </c>
      <c r="I200" s="40" t="s">
        <v>13</v>
      </c>
    </row>
    <row r="201" spans="1:9" x14ac:dyDescent="0.25">
      <c r="A201" s="40" t="s">
        <v>37</v>
      </c>
      <c r="B201" s="40">
        <v>2</v>
      </c>
      <c r="C201" s="41">
        <v>46077</v>
      </c>
      <c r="D201" s="40" t="s">
        <v>10</v>
      </c>
      <c r="E201" s="40" t="s">
        <v>161</v>
      </c>
      <c r="F201" s="40" t="s">
        <v>12</v>
      </c>
      <c r="G201" s="40"/>
      <c r="H201" s="42">
        <v>24</v>
      </c>
      <c r="I201" s="40" t="s">
        <v>13</v>
      </c>
    </row>
    <row r="202" spans="1:9" x14ac:dyDescent="0.25">
      <c r="A202" s="40" t="s">
        <v>37</v>
      </c>
      <c r="B202" s="40">
        <v>2</v>
      </c>
      <c r="C202" s="41">
        <v>46077</v>
      </c>
      <c r="D202" s="40" t="s">
        <v>10</v>
      </c>
      <c r="E202" s="40" t="s">
        <v>162</v>
      </c>
      <c r="F202" s="40" t="s">
        <v>12</v>
      </c>
      <c r="G202" s="40"/>
      <c r="H202" s="42">
        <v>10</v>
      </c>
      <c r="I202" s="40" t="s">
        <v>13</v>
      </c>
    </row>
    <row r="203" spans="1:9" x14ac:dyDescent="0.25">
      <c r="A203" s="40" t="s">
        <v>37</v>
      </c>
      <c r="B203" s="40">
        <v>2</v>
      </c>
      <c r="C203" s="41">
        <v>46077</v>
      </c>
      <c r="D203" s="40" t="s">
        <v>10</v>
      </c>
      <c r="E203" s="40" t="s">
        <v>163</v>
      </c>
      <c r="F203" s="40" t="s">
        <v>12</v>
      </c>
      <c r="G203" s="40"/>
      <c r="H203" s="42">
        <v>5</v>
      </c>
      <c r="I203" s="40" t="s">
        <v>13</v>
      </c>
    </row>
    <row r="204" spans="1:9" x14ac:dyDescent="0.25">
      <c r="A204" s="40" t="s">
        <v>37</v>
      </c>
      <c r="B204" s="40">
        <v>2</v>
      </c>
      <c r="C204" s="41">
        <v>46077</v>
      </c>
      <c r="D204" s="40" t="s">
        <v>10</v>
      </c>
      <c r="E204" s="40" t="s">
        <v>164</v>
      </c>
      <c r="F204" s="40" t="s">
        <v>12</v>
      </c>
      <c r="G204" s="40"/>
      <c r="H204" s="42">
        <v>10</v>
      </c>
      <c r="I204" s="40" t="s">
        <v>13</v>
      </c>
    </row>
    <row r="205" spans="1:9" x14ac:dyDescent="0.25">
      <c r="A205" s="40" t="s">
        <v>37</v>
      </c>
      <c r="B205" s="40">
        <v>2</v>
      </c>
      <c r="C205" s="41">
        <v>46077</v>
      </c>
      <c r="D205" s="40" t="s">
        <v>10</v>
      </c>
      <c r="E205" s="40" t="s">
        <v>165</v>
      </c>
      <c r="F205" s="40" t="s">
        <v>12</v>
      </c>
      <c r="G205" s="40"/>
      <c r="H205" s="42">
        <v>56</v>
      </c>
      <c r="I205" s="40" t="s">
        <v>21</v>
      </c>
    </row>
    <row r="206" spans="1:9" x14ac:dyDescent="0.25">
      <c r="A206" s="40" t="s">
        <v>37</v>
      </c>
      <c r="B206" s="40">
        <v>2</v>
      </c>
      <c r="C206" s="41">
        <v>46077</v>
      </c>
      <c r="D206" s="40" t="s">
        <v>10</v>
      </c>
      <c r="E206" s="40" t="s">
        <v>166</v>
      </c>
      <c r="F206" s="40" t="s">
        <v>18</v>
      </c>
      <c r="G206" s="40" t="s">
        <v>24</v>
      </c>
      <c r="H206" s="42">
        <v>55</v>
      </c>
      <c r="I206" s="40" t="s">
        <v>21</v>
      </c>
    </row>
    <row r="207" spans="1:9" x14ac:dyDescent="0.25">
      <c r="A207" s="40" t="s">
        <v>37</v>
      </c>
      <c r="B207" s="40">
        <v>2</v>
      </c>
      <c r="C207" s="41">
        <v>46077</v>
      </c>
      <c r="D207" s="40" t="s">
        <v>10</v>
      </c>
      <c r="E207" s="40" t="s">
        <v>167</v>
      </c>
      <c r="F207" s="40" t="s">
        <v>12</v>
      </c>
      <c r="G207" s="40"/>
      <c r="H207" s="42">
        <v>25</v>
      </c>
      <c r="I207" s="40" t="s">
        <v>13</v>
      </c>
    </row>
    <row r="208" spans="1:9" x14ac:dyDescent="0.25">
      <c r="A208" s="40" t="s">
        <v>37</v>
      </c>
      <c r="B208" s="40">
        <v>2</v>
      </c>
      <c r="C208" s="41">
        <v>46077</v>
      </c>
      <c r="D208" s="40" t="s">
        <v>10</v>
      </c>
      <c r="E208" s="40" t="s">
        <v>168</v>
      </c>
      <c r="F208" s="40" t="s">
        <v>12</v>
      </c>
      <c r="G208" s="40"/>
      <c r="H208" s="42">
        <v>15</v>
      </c>
      <c r="I208" s="40" t="s">
        <v>13</v>
      </c>
    </row>
    <row r="209" spans="1:9" x14ac:dyDescent="0.25">
      <c r="A209" s="40" t="s">
        <v>37</v>
      </c>
      <c r="B209" s="40">
        <v>2</v>
      </c>
      <c r="C209" s="41">
        <v>46077</v>
      </c>
      <c r="D209" s="40" t="s">
        <v>10</v>
      </c>
      <c r="E209" s="40" t="s">
        <v>26</v>
      </c>
      <c r="F209" s="40" t="s">
        <v>18</v>
      </c>
      <c r="G209" s="40" t="s">
        <v>26</v>
      </c>
      <c r="H209" s="42">
        <v>30</v>
      </c>
      <c r="I209" s="40" t="s">
        <v>13</v>
      </c>
    </row>
    <row r="210" spans="1:9" x14ac:dyDescent="0.25">
      <c r="A210" s="40" t="s">
        <v>37</v>
      </c>
      <c r="B210" s="40">
        <v>2</v>
      </c>
      <c r="C210" s="41">
        <v>46077</v>
      </c>
      <c r="D210" s="40" t="s">
        <v>10</v>
      </c>
      <c r="E210" s="40" t="s">
        <v>150</v>
      </c>
      <c r="F210" s="40" t="s">
        <v>12</v>
      </c>
      <c r="G210" s="40"/>
      <c r="H210" s="42">
        <v>28</v>
      </c>
      <c r="I210" s="40" t="s">
        <v>13</v>
      </c>
    </row>
    <row r="211" spans="1:9" x14ac:dyDescent="0.25">
      <c r="A211" s="40" t="s">
        <v>37</v>
      </c>
      <c r="B211" s="40">
        <v>2</v>
      </c>
      <c r="C211" s="41">
        <v>46077</v>
      </c>
      <c r="D211" s="40" t="s">
        <v>10</v>
      </c>
      <c r="E211" s="40" t="s">
        <v>169</v>
      </c>
      <c r="F211" s="40" t="s">
        <v>12</v>
      </c>
      <c r="G211" s="40"/>
      <c r="H211" s="42">
        <v>30</v>
      </c>
      <c r="I211" s="40" t="s">
        <v>13</v>
      </c>
    </row>
    <row r="212" spans="1:9" x14ac:dyDescent="0.25">
      <c r="A212" s="40" t="s">
        <v>37</v>
      </c>
      <c r="B212" s="40">
        <v>2</v>
      </c>
      <c r="C212" s="41">
        <v>46078</v>
      </c>
      <c r="D212" s="40" t="s">
        <v>10</v>
      </c>
      <c r="E212" s="40" t="s">
        <v>170</v>
      </c>
      <c r="F212" s="40" t="s">
        <v>12</v>
      </c>
      <c r="G212" s="40"/>
      <c r="H212" s="42">
        <v>30</v>
      </c>
      <c r="I212" s="40" t="s">
        <v>13</v>
      </c>
    </row>
    <row r="213" spans="1:9" x14ac:dyDescent="0.25">
      <c r="A213" s="40" t="s">
        <v>37</v>
      </c>
      <c r="B213" s="40">
        <v>2</v>
      </c>
      <c r="C213" s="41">
        <v>46078</v>
      </c>
      <c r="D213" s="40" t="s">
        <v>10</v>
      </c>
      <c r="E213" s="40" t="s">
        <v>171</v>
      </c>
      <c r="F213" s="40" t="s">
        <v>18</v>
      </c>
      <c r="G213" s="40" t="s">
        <v>19</v>
      </c>
      <c r="H213" s="42">
        <v>35</v>
      </c>
      <c r="I213" s="40" t="s">
        <v>13</v>
      </c>
    </row>
    <row r="214" spans="1:9" x14ac:dyDescent="0.25">
      <c r="A214" s="40" t="s">
        <v>37</v>
      </c>
      <c r="B214" s="40">
        <v>2</v>
      </c>
      <c r="C214" s="41">
        <v>46078</v>
      </c>
      <c r="D214" s="40" t="s">
        <v>10</v>
      </c>
      <c r="E214" s="40" t="s">
        <v>102</v>
      </c>
      <c r="F214" s="40" t="s">
        <v>12</v>
      </c>
      <c r="G214" s="40"/>
      <c r="H214" s="42">
        <v>9</v>
      </c>
      <c r="I214" s="40" t="s">
        <v>13</v>
      </c>
    </row>
    <row r="215" spans="1:9" x14ac:dyDescent="0.25">
      <c r="A215" s="40" t="s">
        <v>37</v>
      </c>
      <c r="B215" s="40">
        <v>2</v>
      </c>
      <c r="C215" s="41">
        <v>46078</v>
      </c>
      <c r="D215" s="40" t="s">
        <v>10</v>
      </c>
      <c r="E215" s="40" t="s">
        <v>88</v>
      </c>
      <c r="F215" s="40" t="s">
        <v>18</v>
      </c>
      <c r="G215" s="40" t="s">
        <v>88</v>
      </c>
      <c r="H215" s="42">
        <v>10</v>
      </c>
      <c r="I215" s="40" t="s">
        <v>21</v>
      </c>
    </row>
    <row r="216" spans="1:9" x14ac:dyDescent="0.25">
      <c r="A216" s="40" t="s">
        <v>37</v>
      </c>
      <c r="B216" s="40">
        <v>2</v>
      </c>
      <c r="C216" s="41">
        <v>46078</v>
      </c>
      <c r="D216" s="40" t="s">
        <v>10</v>
      </c>
      <c r="E216" s="40" t="s">
        <v>110</v>
      </c>
      <c r="F216" s="40" t="s">
        <v>12</v>
      </c>
      <c r="G216" s="40"/>
      <c r="H216" s="42">
        <v>5</v>
      </c>
      <c r="I216" s="40" t="s">
        <v>13</v>
      </c>
    </row>
    <row r="217" spans="1:9" x14ac:dyDescent="0.25">
      <c r="A217" s="40" t="s">
        <v>37</v>
      </c>
      <c r="B217" s="40">
        <v>2</v>
      </c>
      <c r="C217" s="41">
        <v>46078</v>
      </c>
      <c r="D217" s="40" t="s">
        <v>10</v>
      </c>
      <c r="E217" s="40" t="s">
        <v>85</v>
      </c>
      <c r="F217" s="40" t="s">
        <v>12</v>
      </c>
      <c r="G217" s="40"/>
      <c r="H217" s="42">
        <v>35</v>
      </c>
      <c r="I217" s="40" t="s">
        <v>13</v>
      </c>
    </row>
    <row r="218" spans="1:9" x14ac:dyDescent="0.25">
      <c r="A218" s="40" t="s">
        <v>37</v>
      </c>
      <c r="B218" s="40">
        <v>2</v>
      </c>
      <c r="C218" s="41">
        <v>46079</v>
      </c>
      <c r="D218" s="40" t="s">
        <v>10</v>
      </c>
      <c r="E218" s="40" t="s">
        <v>172</v>
      </c>
      <c r="F218" s="40" t="s">
        <v>18</v>
      </c>
      <c r="G218" s="40" t="s">
        <v>30</v>
      </c>
      <c r="H218" s="42">
        <v>110</v>
      </c>
      <c r="I218" s="40" t="s">
        <v>21</v>
      </c>
    </row>
    <row r="219" spans="1:9" x14ac:dyDescent="0.25">
      <c r="A219" s="40" t="s">
        <v>37</v>
      </c>
      <c r="B219" s="40">
        <v>2</v>
      </c>
      <c r="C219" s="41">
        <v>46079</v>
      </c>
      <c r="D219" s="40" t="s">
        <v>14</v>
      </c>
      <c r="E219" s="40" t="s">
        <v>173</v>
      </c>
      <c r="F219" s="40"/>
      <c r="G219" s="40"/>
      <c r="H219" s="42">
        <v>30</v>
      </c>
      <c r="I219" s="40" t="s">
        <v>21</v>
      </c>
    </row>
    <row r="220" spans="1:9" x14ac:dyDescent="0.25">
      <c r="A220" s="40" t="s">
        <v>37</v>
      </c>
      <c r="B220" s="40">
        <v>2</v>
      </c>
      <c r="C220" s="41">
        <v>46079</v>
      </c>
      <c r="D220" s="40" t="s">
        <v>10</v>
      </c>
      <c r="E220" s="40" t="s">
        <v>49</v>
      </c>
      <c r="F220" s="40" t="s">
        <v>18</v>
      </c>
      <c r="G220" s="40" t="s">
        <v>24</v>
      </c>
      <c r="H220" s="42">
        <v>35</v>
      </c>
      <c r="I220" s="40" t="s">
        <v>13</v>
      </c>
    </row>
    <row r="221" spans="1:9" x14ac:dyDescent="0.25">
      <c r="A221" s="40" t="s">
        <v>37</v>
      </c>
      <c r="B221" s="40">
        <v>2</v>
      </c>
      <c r="C221" s="41">
        <v>46079</v>
      </c>
      <c r="D221" s="40" t="s">
        <v>10</v>
      </c>
      <c r="E221" s="40" t="s">
        <v>75</v>
      </c>
      <c r="F221" s="40" t="s">
        <v>18</v>
      </c>
      <c r="G221" s="40" t="s">
        <v>24</v>
      </c>
      <c r="H221" s="42">
        <v>40</v>
      </c>
      <c r="I221" s="40" t="s">
        <v>13</v>
      </c>
    </row>
    <row r="222" spans="1:9" x14ac:dyDescent="0.25">
      <c r="A222" s="40" t="s">
        <v>37</v>
      </c>
      <c r="B222" s="40">
        <v>2</v>
      </c>
      <c r="C222" s="41">
        <v>46079</v>
      </c>
      <c r="D222" s="40" t="s">
        <v>10</v>
      </c>
      <c r="E222" s="40" t="s">
        <v>174</v>
      </c>
      <c r="F222" s="40" t="s">
        <v>12</v>
      </c>
      <c r="G222" s="40"/>
      <c r="H222" s="42">
        <v>35</v>
      </c>
      <c r="I222" s="40" t="s">
        <v>21</v>
      </c>
    </row>
    <row r="223" spans="1:9" x14ac:dyDescent="0.25">
      <c r="A223" s="40" t="s">
        <v>37</v>
      </c>
      <c r="B223" s="40">
        <v>2</v>
      </c>
      <c r="C223" s="41">
        <v>46079</v>
      </c>
      <c r="D223" s="40" t="s">
        <v>10</v>
      </c>
      <c r="E223" s="40" t="s">
        <v>26</v>
      </c>
      <c r="F223" s="40" t="s">
        <v>18</v>
      </c>
      <c r="G223" s="40" t="s">
        <v>26</v>
      </c>
      <c r="H223" s="42">
        <v>60</v>
      </c>
      <c r="I223" s="40" t="s">
        <v>21</v>
      </c>
    </row>
    <row r="224" spans="1:9" x14ac:dyDescent="0.25">
      <c r="A224" s="40" t="s">
        <v>37</v>
      </c>
      <c r="B224" s="40">
        <v>2</v>
      </c>
      <c r="C224" s="41">
        <v>46079</v>
      </c>
      <c r="D224" s="40" t="s">
        <v>10</v>
      </c>
      <c r="E224" s="40" t="s">
        <v>24</v>
      </c>
      <c r="F224" s="40" t="s">
        <v>18</v>
      </c>
      <c r="G224" s="40" t="s">
        <v>24</v>
      </c>
      <c r="H224" s="42">
        <v>30</v>
      </c>
      <c r="I224" s="40" t="s">
        <v>13</v>
      </c>
    </row>
    <row r="225" spans="1:9" x14ac:dyDescent="0.25">
      <c r="A225" s="40" t="s">
        <v>37</v>
      </c>
      <c r="B225" s="40">
        <v>2</v>
      </c>
      <c r="C225" s="41">
        <v>46079</v>
      </c>
      <c r="D225" s="40" t="s">
        <v>10</v>
      </c>
      <c r="E225" s="40" t="s">
        <v>152</v>
      </c>
      <c r="F225" s="40" t="s">
        <v>12</v>
      </c>
      <c r="G225" s="40"/>
      <c r="H225" s="42">
        <v>80</v>
      </c>
      <c r="I225" s="40" t="s">
        <v>13</v>
      </c>
    </row>
    <row r="226" spans="1:9" x14ac:dyDescent="0.25">
      <c r="A226" s="40" t="s">
        <v>37</v>
      </c>
      <c r="B226" s="40">
        <v>2</v>
      </c>
      <c r="C226" s="41">
        <v>46079</v>
      </c>
      <c r="D226" s="40" t="s">
        <v>10</v>
      </c>
      <c r="E226" s="40" t="s">
        <v>175</v>
      </c>
      <c r="F226" s="40" t="s">
        <v>12</v>
      </c>
      <c r="G226" s="40"/>
      <c r="H226" s="42">
        <v>15</v>
      </c>
      <c r="I226" s="40" t="s">
        <v>13</v>
      </c>
    </row>
    <row r="227" spans="1:9" x14ac:dyDescent="0.25">
      <c r="A227" s="40" t="s">
        <v>37</v>
      </c>
      <c r="B227" s="40">
        <v>2</v>
      </c>
      <c r="C227" s="41">
        <v>46079</v>
      </c>
      <c r="D227" s="40" t="s">
        <v>10</v>
      </c>
      <c r="E227" s="40" t="s">
        <v>24</v>
      </c>
      <c r="F227" s="40" t="s">
        <v>18</v>
      </c>
      <c r="G227" s="40" t="s">
        <v>24</v>
      </c>
      <c r="H227" s="42">
        <v>35</v>
      </c>
      <c r="I227" s="40" t="s">
        <v>21</v>
      </c>
    </row>
    <row r="228" spans="1:9" x14ac:dyDescent="0.25">
      <c r="A228" s="40" t="s">
        <v>37</v>
      </c>
      <c r="B228" s="40">
        <v>2</v>
      </c>
      <c r="C228" s="41">
        <v>46079</v>
      </c>
      <c r="D228" s="40" t="s">
        <v>10</v>
      </c>
      <c r="E228" s="40" t="s">
        <v>176</v>
      </c>
      <c r="F228" s="40" t="s">
        <v>12</v>
      </c>
      <c r="G228" s="40"/>
      <c r="H228" s="42">
        <v>26</v>
      </c>
      <c r="I228" s="40" t="s">
        <v>13</v>
      </c>
    </row>
    <row r="229" spans="1:9" x14ac:dyDescent="0.25">
      <c r="A229" s="40" t="s">
        <v>37</v>
      </c>
      <c r="B229" s="40">
        <v>2</v>
      </c>
      <c r="C229" s="41">
        <v>46079</v>
      </c>
      <c r="D229" s="40" t="s">
        <v>10</v>
      </c>
      <c r="E229" s="40" t="s">
        <v>110</v>
      </c>
      <c r="F229" s="40" t="s">
        <v>12</v>
      </c>
      <c r="G229" s="40"/>
      <c r="H229" s="42">
        <v>15</v>
      </c>
      <c r="I229" s="40" t="s">
        <v>13</v>
      </c>
    </row>
    <row r="230" spans="1:9" x14ac:dyDescent="0.25">
      <c r="A230" s="40" t="s">
        <v>37</v>
      </c>
      <c r="B230" s="40">
        <v>2</v>
      </c>
      <c r="C230" s="41">
        <v>46081</v>
      </c>
      <c r="D230" s="40" t="s">
        <v>10</v>
      </c>
      <c r="E230" s="40" t="s">
        <v>26</v>
      </c>
      <c r="F230" s="40" t="s">
        <v>18</v>
      </c>
      <c r="G230" s="40" t="s">
        <v>26</v>
      </c>
      <c r="H230" s="42">
        <v>30</v>
      </c>
      <c r="I230" s="40" t="s">
        <v>13</v>
      </c>
    </row>
    <row r="231" spans="1:9" x14ac:dyDescent="0.25">
      <c r="A231" s="40" t="s">
        <v>37</v>
      </c>
      <c r="B231" s="40">
        <v>2</v>
      </c>
      <c r="C231" s="41">
        <v>46081</v>
      </c>
      <c r="D231" s="40" t="s">
        <v>14</v>
      </c>
      <c r="E231" s="40" t="s">
        <v>177</v>
      </c>
      <c r="F231" s="40"/>
      <c r="G231" s="40"/>
      <c r="H231" s="42">
        <v>20</v>
      </c>
      <c r="I231" s="40" t="s">
        <v>13</v>
      </c>
    </row>
    <row r="232" spans="1:9" x14ac:dyDescent="0.25">
      <c r="A232" s="40" t="s">
        <v>37</v>
      </c>
      <c r="B232" s="40">
        <v>2</v>
      </c>
      <c r="C232" s="41">
        <v>46081</v>
      </c>
      <c r="D232" s="40" t="s">
        <v>10</v>
      </c>
      <c r="E232" s="40" t="s">
        <v>178</v>
      </c>
      <c r="F232" s="40" t="s">
        <v>18</v>
      </c>
      <c r="G232" s="40" t="s">
        <v>72</v>
      </c>
      <c r="H232" s="42">
        <v>160</v>
      </c>
      <c r="I232" s="40" t="s">
        <v>179</v>
      </c>
    </row>
    <row r="233" spans="1:9" x14ac:dyDescent="0.25">
      <c r="A233" s="40" t="s">
        <v>37</v>
      </c>
      <c r="B233" s="40">
        <v>2</v>
      </c>
      <c r="C233" s="41">
        <v>46081</v>
      </c>
      <c r="D233" s="40" t="s">
        <v>14</v>
      </c>
      <c r="E233" s="40" t="s">
        <v>180</v>
      </c>
      <c r="F233" s="40"/>
      <c r="G233" s="40"/>
      <c r="H233" s="42">
        <v>10</v>
      </c>
      <c r="I233" s="40" t="s">
        <v>179</v>
      </c>
    </row>
    <row r="234" spans="1:9" x14ac:dyDescent="0.25">
      <c r="A234" s="40" t="s">
        <v>37</v>
      </c>
      <c r="B234" s="40">
        <v>2</v>
      </c>
      <c r="C234" s="41">
        <v>46081</v>
      </c>
      <c r="D234" s="40" t="s">
        <v>10</v>
      </c>
      <c r="E234" s="40" t="s">
        <v>49</v>
      </c>
      <c r="F234" s="40" t="s">
        <v>18</v>
      </c>
      <c r="G234" s="40" t="s">
        <v>24</v>
      </c>
      <c r="H234" s="42">
        <v>40</v>
      </c>
      <c r="I234" s="40" t="s">
        <v>21</v>
      </c>
    </row>
    <row r="235" spans="1:9" x14ac:dyDescent="0.25">
      <c r="A235" s="40" t="s">
        <v>37</v>
      </c>
      <c r="B235" s="40">
        <v>2</v>
      </c>
      <c r="C235" s="41">
        <v>46081</v>
      </c>
      <c r="D235" s="40" t="s">
        <v>14</v>
      </c>
      <c r="E235" s="40" t="s">
        <v>177</v>
      </c>
      <c r="F235" s="40"/>
      <c r="G235" s="40"/>
      <c r="H235" s="42">
        <v>50</v>
      </c>
      <c r="I235" s="40" t="s">
        <v>21</v>
      </c>
    </row>
    <row r="236" spans="1:9" x14ac:dyDescent="0.25">
      <c r="A236" s="40" t="s">
        <v>37</v>
      </c>
      <c r="B236" s="40">
        <v>2</v>
      </c>
      <c r="C236" s="41">
        <v>46081</v>
      </c>
      <c r="D236" s="40" t="s">
        <v>10</v>
      </c>
      <c r="E236" s="40" t="s">
        <v>26</v>
      </c>
      <c r="F236" s="40" t="s">
        <v>18</v>
      </c>
      <c r="G236" s="40" t="s">
        <v>26</v>
      </c>
      <c r="H236" s="42">
        <v>70</v>
      </c>
      <c r="I236" s="40" t="s">
        <v>13</v>
      </c>
    </row>
    <row r="237" spans="1:9" x14ac:dyDescent="0.25">
      <c r="A237" s="40" t="s">
        <v>37</v>
      </c>
      <c r="B237" s="40">
        <v>2</v>
      </c>
      <c r="C237" s="41">
        <v>46081</v>
      </c>
      <c r="D237" s="40" t="s">
        <v>14</v>
      </c>
      <c r="E237" s="40" t="s">
        <v>177</v>
      </c>
      <c r="F237" s="40"/>
      <c r="G237" s="40"/>
      <c r="H237" s="42">
        <v>18</v>
      </c>
      <c r="I237" s="40" t="s">
        <v>13</v>
      </c>
    </row>
    <row r="238" spans="1:9" x14ac:dyDescent="0.25">
      <c r="A238" s="40" t="s">
        <v>37</v>
      </c>
      <c r="B238" s="40">
        <v>2</v>
      </c>
      <c r="C238" s="41">
        <v>46081</v>
      </c>
      <c r="D238" s="40" t="s">
        <v>10</v>
      </c>
      <c r="E238" s="40" t="s">
        <v>181</v>
      </c>
      <c r="F238" s="40" t="s">
        <v>12</v>
      </c>
      <c r="G238" s="40"/>
      <c r="H238" s="42">
        <v>15</v>
      </c>
      <c r="I238" s="40" t="s">
        <v>13</v>
      </c>
    </row>
    <row r="239" spans="1:9" x14ac:dyDescent="0.25">
      <c r="A239" s="40" t="s">
        <v>182</v>
      </c>
      <c r="B239" s="40">
        <v>3</v>
      </c>
      <c r="C239" s="41">
        <v>46083</v>
      </c>
      <c r="D239" s="40" t="s">
        <v>10</v>
      </c>
      <c r="E239" s="40" t="s">
        <v>110</v>
      </c>
      <c r="F239" s="40" t="s">
        <v>12</v>
      </c>
      <c r="G239" s="40"/>
      <c r="H239" s="42">
        <v>5</v>
      </c>
      <c r="I239" s="40" t="s">
        <v>13</v>
      </c>
    </row>
    <row r="240" spans="1:9" x14ac:dyDescent="0.25">
      <c r="A240" s="40" t="s">
        <v>182</v>
      </c>
      <c r="B240" s="40">
        <v>3</v>
      </c>
      <c r="C240" s="41">
        <v>46083</v>
      </c>
      <c r="D240" s="40" t="s">
        <v>10</v>
      </c>
      <c r="E240" s="40" t="s">
        <v>183</v>
      </c>
      <c r="F240" s="40" t="s">
        <v>12</v>
      </c>
      <c r="G240" s="40"/>
      <c r="H240" s="42">
        <v>10</v>
      </c>
      <c r="I240" s="40" t="s">
        <v>13</v>
      </c>
    </row>
    <row r="241" spans="1:9" x14ac:dyDescent="0.25">
      <c r="A241" s="40" t="s">
        <v>182</v>
      </c>
      <c r="B241" s="40">
        <v>3</v>
      </c>
      <c r="C241" s="41">
        <v>46083</v>
      </c>
      <c r="D241" s="40" t="s">
        <v>10</v>
      </c>
      <c r="E241" s="40" t="s">
        <v>31</v>
      </c>
      <c r="F241" s="40" t="s">
        <v>12</v>
      </c>
      <c r="G241" s="40"/>
      <c r="H241" s="42">
        <v>7</v>
      </c>
      <c r="I241" s="40" t="s">
        <v>13</v>
      </c>
    </row>
    <row r="242" spans="1:9" x14ac:dyDescent="0.25">
      <c r="A242" s="40" t="s">
        <v>182</v>
      </c>
      <c r="B242" s="40">
        <v>3</v>
      </c>
      <c r="C242" s="41">
        <v>46083</v>
      </c>
      <c r="D242" s="40" t="s">
        <v>10</v>
      </c>
      <c r="E242" s="40" t="s">
        <v>49</v>
      </c>
      <c r="F242" s="40" t="s">
        <v>18</v>
      </c>
      <c r="G242" s="40" t="s">
        <v>24</v>
      </c>
      <c r="H242" s="42">
        <v>35</v>
      </c>
      <c r="I242" s="40" t="s">
        <v>13</v>
      </c>
    </row>
    <row r="243" spans="1:9" x14ac:dyDescent="0.25">
      <c r="A243" s="40" t="s">
        <v>182</v>
      </c>
      <c r="B243" s="40">
        <v>3</v>
      </c>
      <c r="C243" s="41">
        <v>46084</v>
      </c>
      <c r="D243" s="40" t="s">
        <v>10</v>
      </c>
      <c r="E243" s="40" t="s">
        <v>184</v>
      </c>
      <c r="F243" s="40" t="s">
        <v>12</v>
      </c>
      <c r="G243" s="40"/>
      <c r="H243" s="42">
        <v>6</v>
      </c>
      <c r="I243" s="40" t="s">
        <v>13</v>
      </c>
    </row>
    <row r="244" spans="1:9" x14ac:dyDescent="0.25">
      <c r="A244" s="40" t="s">
        <v>182</v>
      </c>
      <c r="B244" s="40">
        <v>3</v>
      </c>
      <c r="C244" s="41">
        <v>46084</v>
      </c>
      <c r="D244" s="40" t="s">
        <v>10</v>
      </c>
      <c r="E244" s="40" t="s">
        <v>185</v>
      </c>
      <c r="F244" s="40" t="s">
        <v>12</v>
      </c>
      <c r="G244" s="40"/>
      <c r="H244" s="42">
        <v>105</v>
      </c>
      <c r="I244" s="40" t="s">
        <v>13</v>
      </c>
    </row>
    <row r="245" spans="1:9" x14ac:dyDescent="0.25">
      <c r="A245" s="40" t="s">
        <v>182</v>
      </c>
      <c r="B245" s="40">
        <v>3</v>
      </c>
      <c r="C245" s="41">
        <v>46084</v>
      </c>
      <c r="D245" s="40" t="s">
        <v>10</v>
      </c>
      <c r="E245" s="40" t="s">
        <v>186</v>
      </c>
      <c r="F245" s="40" t="s">
        <v>12</v>
      </c>
      <c r="G245" s="40"/>
      <c r="H245" s="42">
        <v>30</v>
      </c>
      <c r="I245" s="40" t="s">
        <v>21</v>
      </c>
    </row>
    <row r="246" spans="1:9" x14ac:dyDescent="0.25">
      <c r="A246" s="40" t="s">
        <v>182</v>
      </c>
      <c r="B246" s="40">
        <v>3</v>
      </c>
      <c r="C246" s="41">
        <v>46084</v>
      </c>
      <c r="D246" s="40" t="s">
        <v>10</v>
      </c>
      <c r="E246" s="40" t="s">
        <v>187</v>
      </c>
      <c r="F246" s="40" t="s">
        <v>12</v>
      </c>
      <c r="G246" s="40"/>
      <c r="H246" s="42">
        <v>92</v>
      </c>
      <c r="I246" s="40" t="s">
        <v>13</v>
      </c>
    </row>
    <row r="247" spans="1:9" x14ac:dyDescent="0.25">
      <c r="A247" s="40" t="s">
        <v>182</v>
      </c>
      <c r="B247" s="40">
        <v>3</v>
      </c>
      <c r="C247" s="41">
        <v>46084</v>
      </c>
      <c r="D247" s="40" t="s">
        <v>10</v>
      </c>
      <c r="E247" s="40" t="s">
        <v>110</v>
      </c>
      <c r="F247" s="40" t="s">
        <v>12</v>
      </c>
      <c r="G247" s="40"/>
      <c r="H247" s="42">
        <v>5</v>
      </c>
      <c r="I247" s="40" t="s">
        <v>21</v>
      </c>
    </row>
    <row r="248" spans="1:9" x14ac:dyDescent="0.25">
      <c r="A248" s="40" t="s">
        <v>182</v>
      </c>
      <c r="B248" s="40">
        <v>3</v>
      </c>
      <c r="C248" s="41">
        <v>46084</v>
      </c>
      <c r="D248" s="40" t="s">
        <v>10</v>
      </c>
      <c r="E248" s="40" t="s">
        <v>175</v>
      </c>
      <c r="F248" s="40" t="s">
        <v>12</v>
      </c>
      <c r="G248" s="40"/>
      <c r="H248" s="42">
        <v>15</v>
      </c>
      <c r="I248" s="40" t="s">
        <v>13</v>
      </c>
    </row>
    <row r="249" spans="1:9" x14ac:dyDescent="0.25">
      <c r="A249" s="40" t="s">
        <v>182</v>
      </c>
      <c r="B249" s="40">
        <v>3</v>
      </c>
      <c r="C249" s="41">
        <v>46084</v>
      </c>
      <c r="D249" s="40" t="s">
        <v>10</v>
      </c>
      <c r="E249" s="40" t="s">
        <v>120</v>
      </c>
      <c r="F249" s="40" t="s">
        <v>12</v>
      </c>
      <c r="G249" s="40"/>
      <c r="H249" s="42">
        <v>11</v>
      </c>
      <c r="I249" s="40" t="s">
        <v>13</v>
      </c>
    </row>
    <row r="250" spans="1:9" x14ac:dyDescent="0.25">
      <c r="A250" s="40" t="s">
        <v>182</v>
      </c>
      <c r="B250" s="40">
        <v>3</v>
      </c>
      <c r="C250" s="41">
        <v>46085</v>
      </c>
      <c r="D250" s="40" t="s">
        <v>10</v>
      </c>
      <c r="E250" s="40" t="s">
        <v>49</v>
      </c>
      <c r="F250" s="40" t="s">
        <v>18</v>
      </c>
      <c r="G250" s="40" t="s">
        <v>24</v>
      </c>
      <c r="H250" s="42">
        <v>35</v>
      </c>
      <c r="I250" s="40" t="s">
        <v>13</v>
      </c>
    </row>
    <row r="251" spans="1:9" x14ac:dyDescent="0.25">
      <c r="A251" s="40" t="s">
        <v>182</v>
      </c>
      <c r="B251" s="40">
        <v>3</v>
      </c>
      <c r="C251" s="41">
        <v>46085</v>
      </c>
      <c r="D251" s="40" t="s">
        <v>14</v>
      </c>
      <c r="E251" s="40" t="s">
        <v>177</v>
      </c>
      <c r="F251" s="40"/>
      <c r="G251" s="40"/>
      <c r="H251" s="42">
        <v>20</v>
      </c>
      <c r="I251" s="40" t="s">
        <v>13</v>
      </c>
    </row>
    <row r="252" spans="1:9" x14ac:dyDescent="0.25">
      <c r="A252" s="40" t="s">
        <v>182</v>
      </c>
      <c r="B252" s="40">
        <v>3</v>
      </c>
      <c r="C252" s="41">
        <v>46085</v>
      </c>
      <c r="D252" s="40" t="s">
        <v>10</v>
      </c>
      <c r="E252" s="40" t="s">
        <v>85</v>
      </c>
      <c r="F252" s="40" t="s">
        <v>12</v>
      </c>
      <c r="G252" s="40"/>
      <c r="H252" s="42">
        <v>30</v>
      </c>
      <c r="I252" s="40" t="s">
        <v>13</v>
      </c>
    </row>
    <row r="253" spans="1:9" x14ac:dyDescent="0.25">
      <c r="A253" s="40" t="s">
        <v>182</v>
      </c>
      <c r="B253" s="40">
        <v>3</v>
      </c>
      <c r="C253" s="41">
        <v>46086</v>
      </c>
      <c r="D253" s="40" t="s">
        <v>10</v>
      </c>
      <c r="E253" s="40" t="s">
        <v>31</v>
      </c>
      <c r="F253" s="40" t="s">
        <v>12</v>
      </c>
      <c r="G253" s="40"/>
      <c r="H253" s="42">
        <v>12</v>
      </c>
      <c r="I253" s="40" t="s">
        <v>13</v>
      </c>
    </row>
    <row r="254" spans="1:9" x14ac:dyDescent="0.25">
      <c r="A254" s="40" t="s">
        <v>182</v>
      </c>
      <c r="B254" s="40">
        <v>3</v>
      </c>
      <c r="C254" s="41">
        <v>46086</v>
      </c>
      <c r="D254" s="40" t="s">
        <v>14</v>
      </c>
      <c r="E254" s="40" t="s">
        <v>188</v>
      </c>
      <c r="F254" s="40"/>
      <c r="G254" s="40"/>
      <c r="H254" s="42">
        <v>40</v>
      </c>
      <c r="I254" s="40" t="s">
        <v>13</v>
      </c>
    </row>
    <row r="255" spans="1:9" x14ac:dyDescent="0.25">
      <c r="A255" s="40" t="s">
        <v>182</v>
      </c>
      <c r="B255" s="40">
        <v>3</v>
      </c>
      <c r="C255" s="41">
        <v>46086</v>
      </c>
      <c r="D255" s="40" t="s">
        <v>10</v>
      </c>
      <c r="E255" s="40" t="s">
        <v>97</v>
      </c>
      <c r="F255" s="40" t="s">
        <v>18</v>
      </c>
      <c r="G255" s="40" t="s">
        <v>98</v>
      </c>
      <c r="H255" s="42">
        <v>15</v>
      </c>
      <c r="I255" s="40" t="s">
        <v>13</v>
      </c>
    </row>
    <row r="256" spans="1:9" x14ac:dyDescent="0.25">
      <c r="A256" s="40" t="s">
        <v>182</v>
      </c>
      <c r="B256" s="40">
        <v>3</v>
      </c>
      <c r="C256" s="41">
        <v>46086</v>
      </c>
      <c r="D256" s="40" t="s">
        <v>10</v>
      </c>
      <c r="E256" s="40" t="s">
        <v>189</v>
      </c>
      <c r="F256" s="40" t="s">
        <v>12</v>
      </c>
      <c r="G256" s="40"/>
      <c r="H256" s="42">
        <v>23</v>
      </c>
      <c r="I256" s="40" t="s">
        <v>13</v>
      </c>
    </row>
    <row r="257" spans="1:9" x14ac:dyDescent="0.25">
      <c r="A257" s="40" t="s">
        <v>182</v>
      </c>
      <c r="B257" s="40">
        <v>3</v>
      </c>
      <c r="C257" s="41">
        <v>46086</v>
      </c>
      <c r="D257" s="40" t="s">
        <v>10</v>
      </c>
      <c r="E257" s="40" t="s">
        <v>115</v>
      </c>
      <c r="F257" s="40" t="s">
        <v>12</v>
      </c>
      <c r="G257" s="40"/>
      <c r="H257" s="42">
        <v>30</v>
      </c>
      <c r="I257" s="40" t="s">
        <v>13</v>
      </c>
    </row>
    <row r="258" spans="1:9" x14ac:dyDescent="0.25">
      <c r="A258" s="40" t="s">
        <v>182</v>
      </c>
      <c r="B258" s="40">
        <v>3</v>
      </c>
      <c r="C258" s="41">
        <v>46086</v>
      </c>
      <c r="D258" s="40" t="s">
        <v>10</v>
      </c>
      <c r="E258" s="40" t="s">
        <v>190</v>
      </c>
      <c r="F258" s="40" t="s">
        <v>12</v>
      </c>
      <c r="G258" s="40"/>
      <c r="H258" s="42">
        <v>12</v>
      </c>
      <c r="I258" s="40" t="s">
        <v>13</v>
      </c>
    </row>
    <row r="259" spans="1:9" x14ac:dyDescent="0.25">
      <c r="A259" s="40" t="s">
        <v>182</v>
      </c>
      <c r="B259" s="40">
        <v>3</v>
      </c>
      <c r="C259" s="41">
        <v>46086</v>
      </c>
      <c r="D259" s="40" t="s">
        <v>10</v>
      </c>
      <c r="E259" s="40" t="s">
        <v>31</v>
      </c>
      <c r="F259" s="40" t="s">
        <v>12</v>
      </c>
      <c r="G259" s="40"/>
      <c r="H259" s="42">
        <v>12</v>
      </c>
      <c r="I259" s="40" t="s">
        <v>13</v>
      </c>
    </row>
    <row r="260" spans="1:9" x14ac:dyDescent="0.25">
      <c r="A260" s="40" t="s">
        <v>182</v>
      </c>
      <c r="B260" s="40">
        <v>3</v>
      </c>
      <c r="C260" s="41">
        <v>46086</v>
      </c>
      <c r="D260" s="40" t="s">
        <v>10</v>
      </c>
      <c r="E260" s="40" t="s">
        <v>120</v>
      </c>
      <c r="F260" s="40" t="s">
        <v>12</v>
      </c>
      <c r="G260" s="40"/>
      <c r="H260" s="42">
        <v>18</v>
      </c>
      <c r="I260" s="40" t="s">
        <v>13</v>
      </c>
    </row>
    <row r="261" spans="1:9" x14ac:dyDescent="0.25">
      <c r="A261" s="40" t="s">
        <v>182</v>
      </c>
      <c r="B261" s="40">
        <v>3</v>
      </c>
      <c r="C261" s="41">
        <v>46086</v>
      </c>
      <c r="D261" s="40" t="s">
        <v>10</v>
      </c>
      <c r="E261" s="40" t="s">
        <v>44</v>
      </c>
      <c r="F261" s="40" t="s">
        <v>12</v>
      </c>
      <c r="G261" s="40"/>
      <c r="H261" s="42">
        <v>5</v>
      </c>
      <c r="I261" s="40" t="s">
        <v>13</v>
      </c>
    </row>
    <row r="262" spans="1:9" x14ac:dyDescent="0.25">
      <c r="A262" s="40" t="s">
        <v>182</v>
      </c>
      <c r="B262" s="40">
        <v>3</v>
      </c>
      <c r="C262" s="41">
        <v>46086</v>
      </c>
      <c r="D262" s="40" t="s">
        <v>10</v>
      </c>
      <c r="E262" s="40" t="s">
        <v>176</v>
      </c>
      <c r="F262" s="40" t="s">
        <v>12</v>
      </c>
      <c r="G262" s="40"/>
      <c r="H262" s="42">
        <v>26</v>
      </c>
      <c r="I262" s="40" t="s">
        <v>13</v>
      </c>
    </row>
    <row r="263" spans="1:9" x14ac:dyDescent="0.25">
      <c r="A263" s="40" t="s">
        <v>182</v>
      </c>
      <c r="B263" s="40">
        <v>3</v>
      </c>
      <c r="C263" s="41">
        <v>46086</v>
      </c>
      <c r="D263" s="40" t="s">
        <v>10</v>
      </c>
      <c r="E263" s="40" t="s">
        <v>143</v>
      </c>
      <c r="F263" s="40" t="s">
        <v>12</v>
      </c>
      <c r="G263" s="40"/>
      <c r="H263" s="42">
        <v>6</v>
      </c>
      <c r="I263" s="40" t="s">
        <v>13</v>
      </c>
    </row>
    <row r="264" spans="1:9" x14ac:dyDescent="0.25">
      <c r="A264" s="40" t="s">
        <v>182</v>
      </c>
      <c r="B264" s="40">
        <v>3</v>
      </c>
      <c r="C264" s="41">
        <v>46086</v>
      </c>
      <c r="D264" s="40" t="s">
        <v>10</v>
      </c>
      <c r="E264" s="40" t="s">
        <v>191</v>
      </c>
      <c r="F264" s="40" t="s">
        <v>18</v>
      </c>
      <c r="G264" s="40" t="s">
        <v>24</v>
      </c>
      <c r="H264" s="42">
        <v>120</v>
      </c>
      <c r="I264" s="40" t="s">
        <v>13</v>
      </c>
    </row>
    <row r="265" spans="1:9" x14ac:dyDescent="0.25">
      <c r="A265" s="40" t="s">
        <v>182</v>
      </c>
      <c r="B265" s="40">
        <v>3</v>
      </c>
      <c r="C265" s="41">
        <v>46087</v>
      </c>
      <c r="D265" s="40" t="s">
        <v>10</v>
      </c>
      <c r="E265" s="40" t="s">
        <v>49</v>
      </c>
      <c r="F265" s="40" t="s">
        <v>18</v>
      </c>
      <c r="G265" s="40" t="s">
        <v>24</v>
      </c>
      <c r="H265" s="42">
        <v>40</v>
      </c>
      <c r="I265" s="40" t="s">
        <v>13</v>
      </c>
    </row>
    <row r="266" spans="1:9" x14ac:dyDescent="0.25">
      <c r="A266" s="40" t="s">
        <v>182</v>
      </c>
      <c r="B266" s="40">
        <v>3</v>
      </c>
      <c r="C266" s="41">
        <v>46087</v>
      </c>
      <c r="D266" s="40" t="s">
        <v>10</v>
      </c>
      <c r="E266" s="40" t="s">
        <v>99</v>
      </c>
      <c r="F266" s="40" t="s">
        <v>12</v>
      </c>
      <c r="G266" s="40"/>
      <c r="H266" s="42">
        <v>1</v>
      </c>
      <c r="I266" s="40" t="s">
        <v>13</v>
      </c>
    </row>
    <row r="267" spans="1:9" x14ac:dyDescent="0.25">
      <c r="A267" s="40" t="s">
        <v>182</v>
      </c>
      <c r="B267" s="40">
        <v>3</v>
      </c>
      <c r="C267" s="41">
        <v>46087</v>
      </c>
      <c r="D267" s="40" t="s">
        <v>10</v>
      </c>
      <c r="E267" s="40" t="s">
        <v>192</v>
      </c>
      <c r="F267" s="40" t="s">
        <v>12</v>
      </c>
      <c r="G267" s="40"/>
      <c r="H267" s="42">
        <v>30</v>
      </c>
      <c r="I267" s="40" t="s">
        <v>13</v>
      </c>
    </row>
    <row r="268" spans="1:9" x14ac:dyDescent="0.25">
      <c r="A268" s="40" t="s">
        <v>182</v>
      </c>
      <c r="B268" s="40">
        <v>3</v>
      </c>
      <c r="C268" s="41">
        <v>46088</v>
      </c>
      <c r="D268" s="40" t="s">
        <v>10</v>
      </c>
      <c r="E268" s="40" t="s">
        <v>111</v>
      </c>
      <c r="F268" s="40" t="s">
        <v>12</v>
      </c>
      <c r="G268" s="40"/>
      <c r="H268" s="42">
        <v>10</v>
      </c>
      <c r="I268" s="40" t="s">
        <v>13</v>
      </c>
    </row>
    <row r="269" spans="1:9" x14ac:dyDescent="0.25">
      <c r="A269" s="40" t="s">
        <v>182</v>
      </c>
      <c r="B269" s="40">
        <v>3</v>
      </c>
      <c r="C269" s="41">
        <v>46088</v>
      </c>
      <c r="D269" s="40" t="s">
        <v>10</v>
      </c>
      <c r="E269" s="40" t="s">
        <v>193</v>
      </c>
      <c r="F269" s="40" t="s">
        <v>12</v>
      </c>
      <c r="G269" s="40"/>
      <c r="H269" s="42">
        <v>5</v>
      </c>
      <c r="I269" s="40" t="s">
        <v>13</v>
      </c>
    </row>
    <row r="270" spans="1:9" x14ac:dyDescent="0.25">
      <c r="A270" s="40" t="s">
        <v>182</v>
      </c>
      <c r="B270" s="40">
        <v>3</v>
      </c>
      <c r="C270" s="41">
        <v>46088</v>
      </c>
      <c r="D270" s="40" t="s">
        <v>10</v>
      </c>
      <c r="E270" s="40" t="s">
        <v>49</v>
      </c>
      <c r="F270" s="40" t="s">
        <v>18</v>
      </c>
      <c r="G270" s="40" t="s">
        <v>24</v>
      </c>
      <c r="H270" s="42">
        <v>35</v>
      </c>
      <c r="I270" s="40" t="s">
        <v>13</v>
      </c>
    </row>
    <row r="271" spans="1:9" x14ac:dyDescent="0.25">
      <c r="A271" s="40" t="s">
        <v>182</v>
      </c>
      <c r="B271" s="40">
        <v>3</v>
      </c>
      <c r="C271" s="41">
        <v>46088</v>
      </c>
      <c r="D271" s="40" t="s">
        <v>10</v>
      </c>
      <c r="E271" s="40" t="s">
        <v>30</v>
      </c>
      <c r="F271" s="40" t="s">
        <v>18</v>
      </c>
      <c r="G271" s="40" t="s">
        <v>30</v>
      </c>
      <c r="H271" s="42">
        <v>30</v>
      </c>
      <c r="I271" s="40" t="s">
        <v>13</v>
      </c>
    </row>
    <row r="272" spans="1:9" x14ac:dyDescent="0.25">
      <c r="A272" s="40" t="s">
        <v>182</v>
      </c>
      <c r="B272" s="40">
        <v>3</v>
      </c>
      <c r="C272" s="41">
        <v>46088</v>
      </c>
      <c r="D272" s="40" t="s">
        <v>10</v>
      </c>
      <c r="E272" s="40" t="s">
        <v>194</v>
      </c>
      <c r="F272" s="40" t="s">
        <v>12</v>
      </c>
      <c r="G272" s="40"/>
      <c r="H272" s="42">
        <v>5</v>
      </c>
      <c r="I272" s="40" t="s">
        <v>13</v>
      </c>
    </row>
    <row r="273" spans="1:9" x14ac:dyDescent="0.25">
      <c r="A273" s="40" t="s">
        <v>182</v>
      </c>
      <c r="B273" s="40">
        <v>3</v>
      </c>
      <c r="C273" s="41">
        <v>46088</v>
      </c>
      <c r="D273" s="40" t="s">
        <v>10</v>
      </c>
      <c r="E273" s="40" t="s">
        <v>26</v>
      </c>
      <c r="F273" s="40" t="s">
        <v>18</v>
      </c>
      <c r="G273" s="40" t="s">
        <v>26</v>
      </c>
      <c r="H273" s="42">
        <v>45</v>
      </c>
      <c r="I273" s="40" t="s">
        <v>13</v>
      </c>
    </row>
    <row r="274" spans="1:9" x14ac:dyDescent="0.25">
      <c r="A274" s="40" t="s">
        <v>182</v>
      </c>
      <c r="B274" s="40">
        <v>3</v>
      </c>
      <c r="C274" s="41">
        <v>46088</v>
      </c>
      <c r="D274" s="40" t="s">
        <v>10</v>
      </c>
      <c r="E274" s="40" t="s">
        <v>195</v>
      </c>
      <c r="F274" s="40" t="s">
        <v>12</v>
      </c>
      <c r="G274" s="40"/>
      <c r="H274" s="42">
        <v>30</v>
      </c>
      <c r="I274" s="40" t="s">
        <v>13</v>
      </c>
    </row>
    <row r="275" spans="1:9" x14ac:dyDescent="0.25">
      <c r="A275" s="40" t="s">
        <v>182</v>
      </c>
      <c r="B275" s="40">
        <v>3</v>
      </c>
      <c r="C275" s="41">
        <v>46088</v>
      </c>
      <c r="D275" s="40" t="s">
        <v>10</v>
      </c>
      <c r="E275" s="40" t="s">
        <v>196</v>
      </c>
      <c r="F275" s="40" t="s">
        <v>12</v>
      </c>
      <c r="G275" s="40"/>
      <c r="H275" s="42">
        <v>18</v>
      </c>
      <c r="I275" s="40" t="s">
        <v>13</v>
      </c>
    </row>
    <row r="276" spans="1:9" x14ac:dyDescent="0.25">
      <c r="A276" s="40" t="s">
        <v>182</v>
      </c>
      <c r="B276" s="40">
        <v>3</v>
      </c>
      <c r="C276" s="41">
        <v>46089</v>
      </c>
      <c r="D276" s="40" t="s">
        <v>10</v>
      </c>
      <c r="E276" s="40" t="s">
        <v>197</v>
      </c>
      <c r="F276" s="40" t="s">
        <v>18</v>
      </c>
      <c r="G276" s="40" t="s">
        <v>72</v>
      </c>
      <c r="H276" s="42">
        <v>80</v>
      </c>
      <c r="I276" s="40" t="s">
        <v>13</v>
      </c>
    </row>
    <row r="277" spans="1:9" x14ac:dyDescent="0.25">
      <c r="A277" s="40" t="s">
        <v>182</v>
      </c>
      <c r="B277" s="40">
        <v>3</v>
      </c>
      <c r="C277" s="41">
        <v>46089</v>
      </c>
      <c r="D277" s="40" t="s">
        <v>10</v>
      </c>
      <c r="E277" s="40" t="s">
        <v>24</v>
      </c>
      <c r="F277" s="40" t="s">
        <v>18</v>
      </c>
      <c r="G277" s="40" t="s">
        <v>24</v>
      </c>
      <c r="H277" s="42">
        <v>145</v>
      </c>
      <c r="I277" s="40" t="s">
        <v>13</v>
      </c>
    </row>
    <row r="278" spans="1:9" x14ac:dyDescent="0.25">
      <c r="A278" s="40" t="s">
        <v>182</v>
      </c>
      <c r="B278" s="40">
        <v>3</v>
      </c>
      <c r="C278" s="41">
        <v>44994</v>
      </c>
      <c r="D278" s="40" t="s">
        <v>10</v>
      </c>
      <c r="E278" s="40" t="s">
        <v>198</v>
      </c>
      <c r="F278" s="40" t="s">
        <v>12</v>
      </c>
      <c r="G278" s="40"/>
      <c r="H278" s="42">
        <v>160</v>
      </c>
      <c r="I278" s="40" t="s">
        <v>13</v>
      </c>
    </row>
    <row r="279" spans="1:9" x14ac:dyDescent="0.25">
      <c r="A279" s="40" t="s">
        <v>182</v>
      </c>
      <c r="B279" s="40">
        <v>3</v>
      </c>
      <c r="C279" s="41">
        <v>44994</v>
      </c>
      <c r="D279" s="40" t="s">
        <v>10</v>
      </c>
      <c r="E279" s="40" t="s">
        <v>120</v>
      </c>
      <c r="F279" s="40" t="s">
        <v>12</v>
      </c>
      <c r="G279" s="40"/>
      <c r="H279" s="42">
        <v>11.5</v>
      </c>
      <c r="I279" s="40" t="s">
        <v>13</v>
      </c>
    </row>
    <row r="280" spans="1:9" x14ac:dyDescent="0.25">
      <c r="A280" s="40" t="s">
        <v>182</v>
      </c>
      <c r="B280" s="40">
        <v>3</v>
      </c>
      <c r="C280" s="41">
        <v>44994</v>
      </c>
      <c r="D280" s="40" t="s">
        <v>10</v>
      </c>
      <c r="E280" s="40" t="s">
        <v>199</v>
      </c>
      <c r="F280" s="40" t="s">
        <v>12</v>
      </c>
      <c r="G280" s="40"/>
      <c r="H280" s="42">
        <v>255</v>
      </c>
      <c r="I280" s="40" t="s">
        <v>13</v>
      </c>
    </row>
    <row r="281" spans="1:9" x14ac:dyDescent="0.25">
      <c r="A281" s="40" t="s">
        <v>182</v>
      </c>
      <c r="B281" s="40">
        <v>3</v>
      </c>
      <c r="C281" s="41">
        <v>44994</v>
      </c>
      <c r="D281" s="40" t="s">
        <v>10</v>
      </c>
      <c r="E281" s="40" t="s">
        <v>110</v>
      </c>
      <c r="F281" s="40" t="s">
        <v>12</v>
      </c>
      <c r="G281" s="40"/>
      <c r="H281" s="42">
        <v>5</v>
      </c>
      <c r="I281" s="40" t="s">
        <v>13</v>
      </c>
    </row>
    <row r="282" spans="1:9" x14ac:dyDescent="0.25">
      <c r="A282" s="40" t="s">
        <v>182</v>
      </c>
      <c r="B282" s="40">
        <v>3</v>
      </c>
      <c r="C282" s="41">
        <v>46091</v>
      </c>
      <c r="D282" s="40" t="s">
        <v>10</v>
      </c>
      <c r="E282" s="40" t="s">
        <v>110</v>
      </c>
      <c r="F282" s="40" t="s">
        <v>12</v>
      </c>
      <c r="G282" s="40"/>
      <c r="H282" s="42">
        <v>10</v>
      </c>
      <c r="I282" s="40" t="s">
        <v>13</v>
      </c>
    </row>
    <row r="283" spans="1:9" x14ac:dyDescent="0.25">
      <c r="A283" s="40" t="s">
        <v>182</v>
      </c>
      <c r="B283" s="40">
        <v>3</v>
      </c>
      <c r="C283" s="41">
        <v>46091</v>
      </c>
      <c r="D283" s="40" t="s">
        <v>10</v>
      </c>
      <c r="E283" s="40" t="s">
        <v>175</v>
      </c>
      <c r="F283" s="40" t="s">
        <v>12</v>
      </c>
      <c r="G283" s="40"/>
      <c r="H283" s="42">
        <v>30</v>
      </c>
      <c r="I283" s="40" t="s">
        <v>13</v>
      </c>
    </row>
    <row r="284" spans="1:9" x14ac:dyDescent="0.25">
      <c r="A284" s="40" t="s">
        <v>182</v>
      </c>
      <c r="B284" s="40">
        <v>3</v>
      </c>
      <c r="C284" s="41">
        <v>46091</v>
      </c>
      <c r="D284" s="40" t="s">
        <v>10</v>
      </c>
      <c r="E284" s="40" t="s">
        <v>200</v>
      </c>
      <c r="F284" s="40" t="s">
        <v>12</v>
      </c>
      <c r="G284" s="40"/>
      <c r="H284" s="42">
        <v>5</v>
      </c>
      <c r="I284" s="40" t="s">
        <v>13</v>
      </c>
    </row>
    <row r="285" spans="1:9" x14ac:dyDescent="0.25">
      <c r="A285" s="40" t="s">
        <v>182</v>
      </c>
      <c r="B285" s="40">
        <v>3</v>
      </c>
      <c r="C285" s="41">
        <v>46091</v>
      </c>
      <c r="D285" s="40" t="s">
        <v>10</v>
      </c>
      <c r="E285" s="40" t="s">
        <v>120</v>
      </c>
      <c r="F285" s="40" t="s">
        <v>12</v>
      </c>
      <c r="G285" s="40"/>
      <c r="H285" s="42">
        <v>5</v>
      </c>
      <c r="I285" s="40" t="s">
        <v>13</v>
      </c>
    </row>
    <row r="286" spans="1:9" x14ac:dyDescent="0.25">
      <c r="A286" s="40" t="s">
        <v>182</v>
      </c>
      <c r="B286" s="40">
        <v>3</v>
      </c>
      <c r="C286" s="41">
        <v>46091</v>
      </c>
      <c r="D286" s="40" t="s">
        <v>10</v>
      </c>
      <c r="E286" s="40" t="s">
        <v>49</v>
      </c>
      <c r="F286" s="40" t="s">
        <v>18</v>
      </c>
      <c r="G286" s="40" t="s">
        <v>24</v>
      </c>
      <c r="H286" s="42">
        <v>60</v>
      </c>
      <c r="I286" s="40" t="s">
        <v>13</v>
      </c>
    </row>
    <row r="287" spans="1:9" x14ac:dyDescent="0.25">
      <c r="A287" s="40" t="s">
        <v>182</v>
      </c>
      <c r="B287" s="40">
        <v>3</v>
      </c>
      <c r="C287" s="41">
        <v>46091</v>
      </c>
      <c r="D287" s="40" t="s">
        <v>10</v>
      </c>
      <c r="E287" s="40" t="s">
        <v>110</v>
      </c>
      <c r="F287" s="40" t="s">
        <v>12</v>
      </c>
      <c r="G287" s="40"/>
      <c r="H287" s="42">
        <v>5</v>
      </c>
      <c r="I287" s="40" t="s">
        <v>13</v>
      </c>
    </row>
    <row r="288" spans="1:9" x14ac:dyDescent="0.25">
      <c r="A288" s="40" t="s">
        <v>182</v>
      </c>
      <c r="B288" s="40">
        <v>3</v>
      </c>
      <c r="C288" s="41">
        <v>46092</v>
      </c>
      <c r="D288" s="40" t="s">
        <v>10</v>
      </c>
      <c r="E288" s="40" t="s">
        <v>201</v>
      </c>
      <c r="F288" s="40" t="s">
        <v>12</v>
      </c>
      <c r="G288" s="40"/>
      <c r="H288" s="42">
        <v>25</v>
      </c>
      <c r="I288" s="40" t="s">
        <v>21</v>
      </c>
    </row>
    <row r="289" spans="1:9" x14ac:dyDescent="0.25">
      <c r="A289" s="40" t="s">
        <v>182</v>
      </c>
      <c r="B289" s="40">
        <v>3</v>
      </c>
      <c r="C289" s="41">
        <v>46092</v>
      </c>
      <c r="D289" s="40" t="s">
        <v>10</v>
      </c>
      <c r="E289" s="40" t="s">
        <v>49</v>
      </c>
      <c r="F289" s="40" t="s">
        <v>18</v>
      </c>
      <c r="G289" s="40" t="s">
        <v>24</v>
      </c>
      <c r="H289" s="42">
        <v>35</v>
      </c>
      <c r="I289" s="40" t="s">
        <v>13</v>
      </c>
    </row>
    <row r="290" spans="1:9" x14ac:dyDescent="0.25">
      <c r="A290" s="40" t="s">
        <v>182</v>
      </c>
      <c r="B290" s="40">
        <v>3</v>
      </c>
      <c r="C290" s="41">
        <v>46092</v>
      </c>
      <c r="D290" s="40" t="s">
        <v>10</v>
      </c>
      <c r="E290" s="40" t="s">
        <v>49</v>
      </c>
      <c r="F290" s="40" t="s">
        <v>18</v>
      </c>
      <c r="G290" s="40" t="s">
        <v>24</v>
      </c>
      <c r="H290" s="42">
        <v>45</v>
      </c>
      <c r="I290" s="40" t="s">
        <v>21</v>
      </c>
    </row>
    <row r="291" spans="1:9" x14ac:dyDescent="0.25">
      <c r="A291" s="40" t="s">
        <v>182</v>
      </c>
      <c r="B291" s="40">
        <v>3</v>
      </c>
      <c r="C291" s="41">
        <v>46093</v>
      </c>
      <c r="D291" s="40" t="s">
        <v>10</v>
      </c>
      <c r="E291" s="40" t="s">
        <v>202</v>
      </c>
      <c r="F291" s="40" t="s">
        <v>12</v>
      </c>
      <c r="G291" s="40"/>
      <c r="H291" s="42">
        <v>4</v>
      </c>
      <c r="I291" s="40" t="s">
        <v>13</v>
      </c>
    </row>
    <row r="292" spans="1:9" x14ac:dyDescent="0.25">
      <c r="A292" s="40" t="s">
        <v>182</v>
      </c>
      <c r="B292" s="40">
        <v>3</v>
      </c>
      <c r="C292" s="41">
        <v>46093</v>
      </c>
      <c r="D292" s="40" t="s">
        <v>10</v>
      </c>
      <c r="E292" s="40" t="s">
        <v>49</v>
      </c>
      <c r="F292" s="40" t="s">
        <v>18</v>
      </c>
      <c r="G292" s="40" t="s">
        <v>24</v>
      </c>
      <c r="H292" s="42">
        <v>35</v>
      </c>
      <c r="I292" s="40" t="s">
        <v>13</v>
      </c>
    </row>
    <row r="293" spans="1:9" x14ac:dyDescent="0.25">
      <c r="A293" s="40" t="s">
        <v>182</v>
      </c>
      <c r="B293" s="40">
        <v>3</v>
      </c>
      <c r="C293" s="41">
        <v>46093</v>
      </c>
      <c r="D293" s="40" t="s">
        <v>10</v>
      </c>
      <c r="E293" s="40" t="s">
        <v>63</v>
      </c>
      <c r="F293" s="40" t="s">
        <v>12</v>
      </c>
      <c r="G293" s="40"/>
      <c r="H293" s="42">
        <v>5</v>
      </c>
      <c r="I293" s="40" t="s">
        <v>13</v>
      </c>
    </row>
    <row r="294" spans="1:9" x14ac:dyDescent="0.25">
      <c r="A294" s="40" t="s">
        <v>182</v>
      </c>
      <c r="B294" s="40">
        <v>3</v>
      </c>
      <c r="C294" s="41">
        <v>46093</v>
      </c>
      <c r="D294" s="40" t="s">
        <v>10</v>
      </c>
      <c r="E294" s="40" t="s">
        <v>203</v>
      </c>
      <c r="F294" s="40" t="s">
        <v>12</v>
      </c>
      <c r="G294" s="40"/>
      <c r="H294" s="42">
        <v>70</v>
      </c>
      <c r="I294" s="40" t="s">
        <v>13</v>
      </c>
    </row>
    <row r="295" spans="1:9" x14ac:dyDescent="0.25">
      <c r="A295" s="40" t="s">
        <v>182</v>
      </c>
      <c r="B295" s="40">
        <v>3</v>
      </c>
      <c r="C295" s="41">
        <v>46093</v>
      </c>
      <c r="D295" s="40" t="s">
        <v>10</v>
      </c>
      <c r="E295" s="40" t="s">
        <v>204</v>
      </c>
      <c r="F295" s="40" t="s">
        <v>18</v>
      </c>
      <c r="G295" s="40" t="s">
        <v>72</v>
      </c>
      <c r="H295" s="42">
        <v>60</v>
      </c>
      <c r="I295" s="40" t="s">
        <v>13</v>
      </c>
    </row>
    <row r="296" spans="1:9" x14ac:dyDescent="0.25">
      <c r="A296" s="40" t="s">
        <v>182</v>
      </c>
      <c r="B296" s="40">
        <v>3</v>
      </c>
      <c r="C296" s="41">
        <v>46094</v>
      </c>
      <c r="D296" s="40" t="s">
        <v>10</v>
      </c>
      <c r="E296" s="40" t="s">
        <v>79</v>
      </c>
      <c r="F296" s="40" t="s">
        <v>12</v>
      </c>
      <c r="G296" s="40"/>
      <c r="H296" s="42">
        <v>12</v>
      </c>
      <c r="I296" s="40" t="s">
        <v>13</v>
      </c>
    </row>
    <row r="297" spans="1:9" x14ac:dyDescent="0.25">
      <c r="A297" s="40" t="s">
        <v>182</v>
      </c>
      <c r="B297" s="40">
        <v>3</v>
      </c>
      <c r="C297" s="41">
        <v>46094</v>
      </c>
      <c r="D297" s="40" t="s">
        <v>10</v>
      </c>
      <c r="E297" s="40" t="s">
        <v>205</v>
      </c>
      <c r="F297" s="40" t="s">
        <v>12</v>
      </c>
      <c r="G297" s="40"/>
      <c r="H297" s="42">
        <v>24</v>
      </c>
      <c r="I297" s="40" t="s">
        <v>13</v>
      </c>
    </row>
    <row r="298" spans="1:9" x14ac:dyDescent="0.25">
      <c r="A298" s="40" t="s">
        <v>182</v>
      </c>
      <c r="B298" s="40">
        <v>3</v>
      </c>
      <c r="C298" s="41">
        <v>46094</v>
      </c>
      <c r="D298" s="40" t="s">
        <v>10</v>
      </c>
      <c r="E298" s="40" t="s">
        <v>189</v>
      </c>
      <c r="F298" s="40" t="s">
        <v>12</v>
      </c>
      <c r="G298" s="40"/>
      <c r="H298" s="42">
        <v>25</v>
      </c>
      <c r="I298" s="40" t="s">
        <v>13</v>
      </c>
    </row>
    <row r="299" spans="1:9" x14ac:dyDescent="0.25">
      <c r="A299" s="40" t="s">
        <v>182</v>
      </c>
      <c r="B299" s="40">
        <v>3</v>
      </c>
      <c r="C299" s="41">
        <v>46094</v>
      </c>
      <c r="D299" s="40" t="s">
        <v>10</v>
      </c>
      <c r="E299" s="40" t="s">
        <v>49</v>
      </c>
      <c r="F299" s="40" t="s">
        <v>18</v>
      </c>
      <c r="G299" s="40" t="s">
        <v>24</v>
      </c>
      <c r="H299" s="42">
        <v>35</v>
      </c>
      <c r="I299" s="40" t="s">
        <v>13</v>
      </c>
    </row>
    <row r="300" spans="1:9" x14ac:dyDescent="0.25">
      <c r="A300" s="40" t="s">
        <v>182</v>
      </c>
      <c r="B300" s="40">
        <v>3</v>
      </c>
      <c r="C300" s="41">
        <v>46094</v>
      </c>
      <c r="D300" s="40" t="s">
        <v>10</v>
      </c>
      <c r="E300" s="40" t="s">
        <v>206</v>
      </c>
      <c r="F300" s="40" t="s">
        <v>12</v>
      </c>
      <c r="G300" s="40"/>
      <c r="H300" s="42">
        <v>15</v>
      </c>
      <c r="I300" s="40" t="s">
        <v>13</v>
      </c>
    </row>
    <row r="301" spans="1:9" x14ac:dyDescent="0.25">
      <c r="A301" s="40" t="s">
        <v>182</v>
      </c>
      <c r="B301" s="40">
        <v>3</v>
      </c>
      <c r="C301" s="41">
        <v>46094</v>
      </c>
      <c r="D301" s="40" t="s">
        <v>10</v>
      </c>
      <c r="E301" s="40" t="s">
        <v>207</v>
      </c>
      <c r="F301" s="40" t="s">
        <v>12</v>
      </c>
      <c r="G301" s="40"/>
      <c r="H301" s="42">
        <v>20</v>
      </c>
      <c r="I301" s="40" t="s">
        <v>13</v>
      </c>
    </row>
    <row r="302" spans="1:9" x14ac:dyDescent="0.25">
      <c r="A302" s="40" t="s">
        <v>182</v>
      </c>
      <c r="B302" s="40">
        <v>3</v>
      </c>
      <c r="C302" s="41">
        <v>46094</v>
      </c>
      <c r="D302" s="40" t="s">
        <v>10</v>
      </c>
      <c r="E302" s="40" t="s">
        <v>26</v>
      </c>
      <c r="F302" s="40" t="s">
        <v>18</v>
      </c>
      <c r="G302" s="40" t="s">
        <v>26</v>
      </c>
      <c r="H302" s="42">
        <v>30</v>
      </c>
      <c r="I302" s="40" t="s">
        <v>13</v>
      </c>
    </row>
    <row r="303" spans="1:9" x14ac:dyDescent="0.25">
      <c r="A303" s="40" t="s">
        <v>182</v>
      </c>
      <c r="B303" s="40">
        <v>3</v>
      </c>
      <c r="C303" s="41">
        <v>46094</v>
      </c>
      <c r="D303" s="40" t="s">
        <v>10</v>
      </c>
      <c r="E303" s="40" t="s">
        <v>26</v>
      </c>
      <c r="F303" s="40" t="s">
        <v>18</v>
      </c>
      <c r="G303" s="40" t="s">
        <v>26</v>
      </c>
      <c r="H303" s="42">
        <v>15</v>
      </c>
      <c r="I303" s="40" t="s">
        <v>13</v>
      </c>
    </row>
    <row r="304" spans="1:9" x14ac:dyDescent="0.25">
      <c r="A304" s="40" t="s">
        <v>182</v>
      </c>
      <c r="B304" s="40">
        <v>3</v>
      </c>
      <c r="C304" s="41">
        <v>46094</v>
      </c>
      <c r="D304" s="40" t="s">
        <v>10</v>
      </c>
      <c r="E304" s="40" t="s">
        <v>208</v>
      </c>
      <c r="F304" s="40" t="s">
        <v>12</v>
      </c>
      <c r="G304" s="40"/>
      <c r="H304" s="42">
        <v>130</v>
      </c>
      <c r="I304" s="40" t="s">
        <v>13</v>
      </c>
    </row>
    <row r="305" spans="1:9" x14ac:dyDescent="0.25">
      <c r="A305" s="40" t="s">
        <v>182</v>
      </c>
      <c r="B305" s="40">
        <v>3</v>
      </c>
      <c r="C305" s="41">
        <v>46095</v>
      </c>
      <c r="D305" s="40" t="s">
        <v>10</v>
      </c>
      <c r="E305" s="40" t="s">
        <v>209</v>
      </c>
      <c r="F305" s="40" t="s">
        <v>18</v>
      </c>
      <c r="G305" s="40" t="s">
        <v>26</v>
      </c>
      <c r="H305" s="42">
        <v>30</v>
      </c>
      <c r="I305" s="40" t="s">
        <v>13</v>
      </c>
    </row>
    <row r="306" spans="1:9" x14ac:dyDescent="0.25">
      <c r="A306" s="40" t="s">
        <v>182</v>
      </c>
      <c r="B306" s="40">
        <v>3</v>
      </c>
      <c r="C306" s="41">
        <v>46095</v>
      </c>
      <c r="D306" s="40" t="s">
        <v>14</v>
      </c>
      <c r="E306" s="40" t="s">
        <v>210</v>
      </c>
      <c r="F306" s="40"/>
      <c r="G306" s="40"/>
      <c r="H306" s="42">
        <v>30</v>
      </c>
      <c r="I306" s="40" t="s">
        <v>13</v>
      </c>
    </row>
    <row r="307" spans="1:9" x14ac:dyDescent="0.25">
      <c r="A307" s="40" t="s">
        <v>182</v>
      </c>
      <c r="B307" s="40">
        <v>3</v>
      </c>
      <c r="C307" s="41">
        <v>46095</v>
      </c>
      <c r="D307" s="40" t="s">
        <v>10</v>
      </c>
      <c r="E307" s="40" t="s">
        <v>150</v>
      </c>
      <c r="F307" s="40" t="s">
        <v>12</v>
      </c>
      <c r="G307" s="40"/>
      <c r="H307" s="42">
        <v>35</v>
      </c>
      <c r="I307" s="40" t="s">
        <v>13</v>
      </c>
    </row>
    <row r="308" spans="1:9" x14ac:dyDescent="0.25">
      <c r="A308" s="40" t="s">
        <v>182</v>
      </c>
      <c r="B308" s="40">
        <v>3</v>
      </c>
      <c r="C308" s="41">
        <v>46095</v>
      </c>
      <c r="D308" s="40" t="s">
        <v>10</v>
      </c>
      <c r="E308" s="40" t="s">
        <v>49</v>
      </c>
      <c r="F308" s="40" t="s">
        <v>18</v>
      </c>
      <c r="G308" s="40" t="s">
        <v>24</v>
      </c>
      <c r="H308" s="42">
        <v>70</v>
      </c>
      <c r="I308" s="40" t="s">
        <v>13</v>
      </c>
    </row>
    <row r="309" spans="1:9" x14ac:dyDescent="0.25">
      <c r="A309" s="40" t="s">
        <v>182</v>
      </c>
      <c r="B309" s="40">
        <v>3</v>
      </c>
      <c r="C309" s="41">
        <v>46095</v>
      </c>
      <c r="D309" s="40" t="s">
        <v>10</v>
      </c>
      <c r="E309" s="40" t="s">
        <v>110</v>
      </c>
      <c r="F309" s="40" t="s">
        <v>12</v>
      </c>
      <c r="G309" s="40"/>
      <c r="H309" s="42">
        <v>10</v>
      </c>
      <c r="I309" s="40" t="s">
        <v>13</v>
      </c>
    </row>
    <row r="310" spans="1:9" x14ac:dyDescent="0.25">
      <c r="A310" s="40" t="s">
        <v>182</v>
      </c>
      <c r="B310" s="40">
        <v>3</v>
      </c>
      <c r="C310" s="41">
        <v>46095</v>
      </c>
      <c r="D310" s="40" t="s">
        <v>10</v>
      </c>
      <c r="E310" s="40" t="s">
        <v>162</v>
      </c>
      <c r="F310" s="40" t="s">
        <v>12</v>
      </c>
      <c r="G310" s="40"/>
      <c r="H310" s="42">
        <v>10</v>
      </c>
      <c r="I310" s="40" t="s">
        <v>13</v>
      </c>
    </row>
    <row r="311" spans="1:9" x14ac:dyDescent="0.25">
      <c r="A311" s="40" t="s">
        <v>182</v>
      </c>
      <c r="B311" s="40">
        <v>3</v>
      </c>
      <c r="C311" s="41">
        <v>46095</v>
      </c>
      <c r="D311" s="40" t="s">
        <v>10</v>
      </c>
      <c r="E311" s="40" t="s">
        <v>49</v>
      </c>
      <c r="F311" s="40" t="s">
        <v>18</v>
      </c>
      <c r="G311" s="40" t="s">
        <v>24</v>
      </c>
      <c r="H311" s="42">
        <v>35</v>
      </c>
      <c r="I311" s="40" t="s">
        <v>13</v>
      </c>
    </row>
    <row r="312" spans="1:9" x14ac:dyDescent="0.25">
      <c r="A312" s="40" t="s">
        <v>182</v>
      </c>
      <c r="B312" s="40">
        <v>3</v>
      </c>
      <c r="C312" s="41">
        <v>46096</v>
      </c>
      <c r="D312" s="40" t="s">
        <v>10</v>
      </c>
      <c r="E312" s="40" t="s">
        <v>211</v>
      </c>
      <c r="F312" s="40" t="s">
        <v>12</v>
      </c>
      <c r="G312" s="40"/>
      <c r="H312" s="42">
        <v>18</v>
      </c>
      <c r="I312" s="40" t="s">
        <v>13</v>
      </c>
    </row>
    <row r="313" spans="1:9" x14ac:dyDescent="0.25">
      <c r="A313" s="40" t="s">
        <v>182</v>
      </c>
      <c r="B313" s="40">
        <v>3</v>
      </c>
      <c r="C313" s="41">
        <v>46096</v>
      </c>
      <c r="D313" s="40" t="s">
        <v>10</v>
      </c>
      <c r="E313" s="40" t="s">
        <v>212</v>
      </c>
      <c r="F313" s="40" t="s">
        <v>12</v>
      </c>
      <c r="G313" s="40"/>
      <c r="H313" s="42">
        <v>3</v>
      </c>
      <c r="I313" s="40" t="s">
        <v>13</v>
      </c>
    </row>
    <row r="314" spans="1:9" x14ac:dyDescent="0.25">
      <c r="A314" s="40" t="s">
        <v>182</v>
      </c>
      <c r="B314" s="40">
        <v>3</v>
      </c>
      <c r="C314" s="41">
        <v>46096</v>
      </c>
      <c r="D314" s="40" t="s">
        <v>10</v>
      </c>
      <c r="E314" s="40" t="s">
        <v>213</v>
      </c>
      <c r="F314" s="40" t="s">
        <v>12</v>
      </c>
      <c r="G314" s="40"/>
      <c r="H314" s="42">
        <v>27</v>
      </c>
      <c r="I314" s="40" t="s">
        <v>13</v>
      </c>
    </row>
    <row r="315" spans="1:9" x14ac:dyDescent="0.25">
      <c r="A315" s="40" t="s">
        <v>182</v>
      </c>
      <c r="B315" s="40">
        <v>3</v>
      </c>
      <c r="C315" s="41">
        <v>46096</v>
      </c>
      <c r="D315" s="40" t="s">
        <v>10</v>
      </c>
      <c r="E315" s="40" t="s">
        <v>214</v>
      </c>
      <c r="F315" s="40" t="s">
        <v>12</v>
      </c>
      <c r="G315" s="40"/>
      <c r="H315" s="42">
        <v>21</v>
      </c>
      <c r="I315" s="40" t="s">
        <v>13</v>
      </c>
    </row>
    <row r="316" spans="1:9" x14ac:dyDescent="0.25">
      <c r="A316" s="40" t="s">
        <v>182</v>
      </c>
      <c r="B316" s="40">
        <v>3</v>
      </c>
      <c r="C316" s="41">
        <v>46096</v>
      </c>
      <c r="D316" s="40" t="s">
        <v>10</v>
      </c>
      <c r="E316" s="40" t="s">
        <v>215</v>
      </c>
      <c r="F316" s="40" t="s">
        <v>18</v>
      </c>
      <c r="G316" s="40" t="s">
        <v>24</v>
      </c>
      <c r="H316" s="42">
        <v>105</v>
      </c>
      <c r="I316" s="40" t="s">
        <v>21</v>
      </c>
    </row>
    <row r="317" spans="1:9" x14ac:dyDescent="0.25">
      <c r="A317" s="40" t="s">
        <v>182</v>
      </c>
      <c r="B317" s="40">
        <v>3</v>
      </c>
      <c r="C317" s="41">
        <v>46097</v>
      </c>
      <c r="D317" s="40" t="s">
        <v>10</v>
      </c>
      <c r="E317" s="40" t="s">
        <v>45</v>
      </c>
      <c r="F317" s="40" t="s">
        <v>12</v>
      </c>
      <c r="G317" s="40"/>
      <c r="H317" s="42">
        <v>5</v>
      </c>
      <c r="I317" s="40" t="s">
        <v>13</v>
      </c>
    </row>
    <row r="318" spans="1:9" x14ac:dyDescent="0.25">
      <c r="A318" s="40" t="s">
        <v>182</v>
      </c>
      <c r="B318" s="40">
        <v>3</v>
      </c>
      <c r="C318" s="41">
        <v>46097</v>
      </c>
      <c r="D318" s="40" t="s">
        <v>14</v>
      </c>
      <c r="E318" s="40" t="s">
        <v>216</v>
      </c>
      <c r="F318" s="40"/>
      <c r="G318" s="40"/>
      <c r="H318" s="42">
        <v>34</v>
      </c>
      <c r="I318" s="40" t="s">
        <v>13</v>
      </c>
    </row>
    <row r="319" spans="1:9" x14ac:dyDescent="0.25">
      <c r="A319" s="40" t="s">
        <v>182</v>
      </c>
      <c r="B319" s="40">
        <v>3</v>
      </c>
      <c r="C319" s="41">
        <v>46097</v>
      </c>
      <c r="D319" s="40" t="s">
        <v>10</v>
      </c>
      <c r="E319" s="40" t="s">
        <v>79</v>
      </c>
      <c r="F319" s="40" t="s">
        <v>12</v>
      </c>
      <c r="G319" s="40"/>
      <c r="H319" s="42">
        <v>12</v>
      </c>
      <c r="I319" s="40" t="s">
        <v>13</v>
      </c>
    </row>
    <row r="320" spans="1:9" x14ac:dyDescent="0.25">
      <c r="A320" s="40" t="s">
        <v>182</v>
      </c>
      <c r="B320" s="40">
        <v>3</v>
      </c>
      <c r="C320" s="41">
        <v>46097</v>
      </c>
      <c r="D320" s="40" t="s">
        <v>10</v>
      </c>
      <c r="E320" s="40" t="s">
        <v>217</v>
      </c>
      <c r="F320" s="40" t="s">
        <v>18</v>
      </c>
      <c r="G320" s="40" t="s">
        <v>26</v>
      </c>
      <c r="H320" s="42">
        <v>60</v>
      </c>
      <c r="I320" s="40" t="s">
        <v>13</v>
      </c>
    </row>
    <row r="321" spans="1:9" x14ac:dyDescent="0.25">
      <c r="A321" s="40" t="s">
        <v>182</v>
      </c>
      <c r="B321" s="40">
        <v>3</v>
      </c>
      <c r="C321" s="41">
        <v>46097</v>
      </c>
      <c r="D321" s="40" t="s">
        <v>10</v>
      </c>
      <c r="E321" s="40" t="s">
        <v>218</v>
      </c>
      <c r="F321" s="40" t="s">
        <v>12</v>
      </c>
      <c r="G321" s="40"/>
      <c r="H321" s="42">
        <v>8</v>
      </c>
      <c r="I321" s="40" t="s">
        <v>13</v>
      </c>
    </row>
    <row r="322" spans="1:9" x14ac:dyDescent="0.25">
      <c r="A322" s="40" t="s">
        <v>182</v>
      </c>
      <c r="B322" s="40">
        <v>3</v>
      </c>
      <c r="C322" s="41">
        <v>46098</v>
      </c>
      <c r="D322" s="40" t="s">
        <v>10</v>
      </c>
      <c r="E322" s="40" t="s">
        <v>219</v>
      </c>
      <c r="F322" s="40" t="s">
        <v>18</v>
      </c>
      <c r="G322" s="40" t="s">
        <v>24</v>
      </c>
      <c r="H322" s="42">
        <v>45</v>
      </c>
      <c r="I322" s="40" t="s">
        <v>13</v>
      </c>
    </row>
    <row r="323" spans="1:9" x14ac:dyDescent="0.25">
      <c r="A323" s="40" t="s">
        <v>182</v>
      </c>
      <c r="B323" s="40">
        <v>3</v>
      </c>
      <c r="C323" s="41">
        <v>46098</v>
      </c>
      <c r="D323" s="40" t="s">
        <v>10</v>
      </c>
      <c r="E323" s="40" t="s">
        <v>24</v>
      </c>
      <c r="F323" s="40" t="s">
        <v>18</v>
      </c>
      <c r="G323" s="40" t="s">
        <v>24</v>
      </c>
      <c r="H323" s="42">
        <v>30</v>
      </c>
      <c r="I323" s="40" t="s">
        <v>13</v>
      </c>
    </row>
    <row r="324" spans="1:9" x14ac:dyDescent="0.25">
      <c r="A324" s="40" t="s">
        <v>182</v>
      </c>
      <c r="B324" s="40">
        <v>3</v>
      </c>
      <c r="C324" s="41">
        <v>46098</v>
      </c>
      <c r="D324" s="40" t="s">
        <v>10</v>
      </c>
      <c r="E324" s="40" t="s">
        <v>24</v>
      </c>
      <c r="F324" s="40" t="s">
        <v>18</v>
      </c>
      <c r="G324" s="40" t="s">
        <v>24</v>
      </c>
      <c r="H324" s="42">
        <v>35</v>
      </c>
      <c r="I324" s="40" t="s">
        <v>13</v>
      </c>
    </row>
    <row r="325" spans="1:9" x14ac:dyDescent="0.25">
      <c r="A325" s="40" t="s">
        <v>182</v>
      </c>
      <c r="B325" s="40">
        <v>3</v>
      </c>
      <c r="C325" s="41">
        <v>46098</v>
      </c>
      <c r="D325" s="40" t="s">
        <v>10</v>
      </c>
      <c r="E325" s="40" t="s">
        <v>24</v>
      </c>
      <c r="F325" s="40" t="s">
        <v>18</v>
      </c>
      <c r="G325" s="40" t="s">
        <v>24</v>
      </c>
      <c r="H325" s="42">
        <v>40</v>
      </c>
      <c r="I325" s="40" t="s">
        <v>13</v>
      </c>
    </row>
    <row r="326" spans="1:9" x14ac:dyDescent="0.25">
      <c r="A326" s="40" t="s">
        <v>182</v>
      </c>
      <c r="B326" s="40">
        <v>3</v>
      </c>
      <c r="C326" s="41">
        <v>46098</v>
      </c>
      <c r="D326" s="40" t="s">
        <v>10</v>
      </c>
      <c r="E326" s="40" t="s">
        <v>197</v>
      </c>
      <c r="F326" s="40" t="s">
        <v>18</v>
      </c>
      <c r="G326" s="40" t="s">
        <v>72</v>
      </c>
      <c r="H326" s="42">
        <v>80</v>
      </c>
      <c r="I326" s="40" t="s">
        <v>13</v>
      </c>
    </row>
    <row r="327" spans="1:9" x14ac:dyDescent="0.25">
      <c r="A327" s="40" t="s">
        <v>182</v>
      </c>
      <c r="B327" s="40">
        <v>3</v>
      </c>
      <c r="C327" s="41">
        <v>46099</v>
      </c>
      <c r="D327" s="40" t="s">
        <v>10</v>
      </c>
      <c r="E327" s="40" t="s">
        <v>220</v>
      </c>
      <c r="F327" s="40" t="s">
        <v>12</v>
      </c>
      <c r="G327" s="40"/>
      <c r="H327" s="42">
        <v>10</v>
      </c>
      <c r="I327" s="40" t="s">
        <v>13</v>
      </c>
    </row>
    <row r="328" spans="1:9" x14ac:dyDescent="0.25">
      <c r="A328" s="40" t="s">
        <v>182</v>
      </c>
      <c r="B328" s="40">
        <v>3</v>
      </c>
      <c r="C328" s="41">
        <v>46099</v>
      </c>
      <c r="D328" s="40" t="s">
        <v>14</v>
      </c>
      <c r="E328" s="40" t="s">
        <v>221</v>
      </c>
      <c r="F328" s="40"/>
      <c r="G328" s="40"/>
      <c r="H328" s="42">
        <v>18</v>
      </c>
      <c r="I328" s="40" t="s">
        <v>13</v>
      </c>
    </row>
    <row r="329" spans="1:9" x14ac:dyDescent="0.25">
      <c r="A329" s="40" t="s">
        <v>182</v>
      </c>
      <c r="B329" s="40">
        <v>3</v>
      </c>
      <c r="C329" s="41">
        <v>46099</v>
      </c>
      <c r="D329" s="40" t="s">
        <v>10</v>
      </c>
      <c r="E329" s="40" t="s">
        <v>222</v>
      </c>
      <c r="F329" s="40" t="s">
        <v>12</v>
      </c>
      <c r="G329" s="40"/>
      <c r="H329" s="42">
        <v>15</v>
      </c>
      <c r="I329" s="40" t="s">
        <v>13</v>
      </c>
    </row>
    <row r="330" spans="1:9" x14ac:dyDescent="0.25">
      <c r="A330" s="40" t="s">
        <v>182</v>
      </c>
      <c r="B330" s="40">
        <v>3</v>
      </c>
      <c r="C330" s="41">
        <v>46099</v>
      </c>
      <c r="D330" s="40" t="s">
        <v>14</v>
      </c>
      <c r="E330" s="40" t="s">
        <v>223</v>
      </c>
      <c r="F330" s="40"/>
      <c r="G330" s="40"/>
      <c r="H330" s="42">
        <v>27</v>
      </c>
      <c r="I330" s="40" t="s">
        <v>13</v>
      </c>
    </row>
    <row r="331" spans="1:9" x14ac:dyDescent="0.25">
      <c r="A331" s="40" t="s">
        <v>182</v>
      </c>
      <c r="B331" s="40">
        <v>3</v>
      </c>
      <c r="C331" s="41">
        <v>46099</v>
      </c>
      <c r="D331" s="40" t="s">
        <v>10</v>
      </c>
      <c r="E331" s="40" t="s">
        <v>96</v>
      </c>
      <c r="F331" s="40" t="s">
        <v>12</v>
      </c>
      <c r="G331" s="40"/>
      <c r="H331" s="42">
        <v>6</v>
      </c>
      <c r="I331" s="40" t="s">
        <v>13</v>
      </c>
    </row>
    <row r="332" spans="1:9" x14ac:dyDescent="0.25">
      <c r="A332" s="40" t="s">
        <v>182</v>
      </c>
      <c r="B332" s="40">
        <v>3</v>
      </c>
      <c r="C332" s="41">
        <v>46099</v>
      </c>
      <c r="D332" s="40" t="s">
        <v>10</v>
      </c>
      <c r="E332" s="40" t="s">
        <v>224</v>
      </c>
      <c r="F332" s="40" t="s">
        <v>12</v>
      </c>
      <c r="G332" s="40"/>
      <c r="H332" s="42">
        <v>11</v>
      </c>
      <c r="I332" s="40" t="s">
        <v>13</v>
      </c>
    </row>
    <row r="333" spans="1:9" x14ac:dyDescent="0.25">
      <c r="A333" s="40" t="s">
        <v>182</v>
      </c>
      <c r="B333" s="40">
        <v>3</v>
      </c>
      <c r="C333" s="41">
        <v>46101</v>
      </c>
      <c r="D333" s="40" t="s">
        <v>10</v>
      </c>
      <c r="E333" s="40" t="s">
        <v>45</v>
      </c>
      <c r="F333" s="40" t="s">
        <v>12</v>
      </c>
      <c r="G333" s="40"/>
      <c r="H333" s="42">
        <v>8</v>
      </c>
      <c r="I333" s="40" t="s">
        <v>13</v>
      </c>
    </row>
    <row r="334" spans="1:9" x14ac:dyDescent="0.25">
      <c r="A334" s="40" t="s">
        <v>182</v>
      </c>
      <c r="B334" s="40">
        <v>3</v>
      </c>
      <c r="C334" s="41">
        <v>46101</v>
      </c>
      <c r="D334" s="40" t="s">
        <v>10</v>
      </c>
      <c r="E334" s="40" t="s">
        <v>164</v>
      </c>
      <c r="F334" s="40" t="s">
        <v>12</v>
      </c>
      <c r="G334" s="40"/>
      <c r="H334" s="42">
        <v>5</v>
      </c>
      <c r="I334" s="40" t="s">
        <v>13</v>
      </c>
    </row>
    <row r="335" spans="1:9" x14ac:dyDescent="0.25">
      <c r="A335" s="40" t="s">
        <v>182</v>
      </c>
      <c r="B335" s="40">
        <v>3</v>
      </c>
      <c r="C335" s="41">
        <v>46101</v>
      </c>
      <c r="D335" s="40" t="s">
        <v>10</v>
      </c>
      <c r="E335" s="40" t="s">
        <v>225</v>
      </c>
      <c r="F335" s="40" t="s">
        <v>12</v>
      </c>
      <c r="G335" s="40"/>
      <c r="H335" s="42">
        <v>15</v>
      </c>
      <c r="I335" s="40" t="s">
        <v>13</v>
      </c>
    </row>
    <row r="336" spans="1:9" x14ac:dyDescent="0.25">
      <c r="A336" s="40" t="s">
        <v>182</v>
      </c>
      <c r="B336" s="40">
        <v>3</v>
      </c>
      <c r="C336" s="41">
        <v>46101</v>
      </c>
      <c r="D336" s="40" t="s">
        <v>10</v>
      </c>
      <c r="E336" s="40" t="s">
        <v>19</v>
      </c>
      <c r="F336" s="40" t="s">
        <v>18</v>
      </c>
      <c r="G336" s="40" t="s">
        <v>19</v>
      </c>
      <c r="H336" s="42">
        <v>10</v>
      </c>
      <c r="I336" s="40" t="s">
        <v>13</v>
      </c>
    </row>
    <row r="337" spans="1:9" x14ac:dyDescent="0.25">
      <c r="A337" s="40" t="s">
        <v>182</v>
      </c>
      <c r="B337" s="40">
        <v>3</v>
      </c>
      <c r="C337" s="41">
        <v>46102</v>
      </c>
      <c r="D337" s="40" t="s">
        <v>10</v>
      </c>
      <c r="E337" s="40" t="s">
        <v>226</v>
      </c>
      <c r="F337" s="40" t="s">
        <v>18</v>
      </c>
      <c r="G337" s="40" t="s">
        <v>30</v>
      </c>
      <c r="H337" s="42">
        <v>100</v>
      </c>
      <c r="I337" s="40" t="s">
        <v>13</v>
      </c>
    </row>
    <row r="338" spans="1:9" x14ac:dyDescent="0.25">
      <c r="A338" s="40" t="s">
        <v>182</v>
      </c>
      <c r="B338" s="40">
        <v>3</v>
      </c>
      <c r="C338" s="41">
        <v>46102</v>
      </c>
      <c r="D338" s="40" t="s">
        <v>14</v>
      </c>
      <c r="E338" s="40" t="s">
        <v>227</v>
      </c>
      <c r="F338" s="40"/>
      <c r="G338" s="40"/>
      <c r="H338" s="42">
        <v>30</v>
      </c>
      <c r="I338" s="40" t="s">
        <v>13</v>
      </c>
    </row>
    <row r="339" spans="1:9" x14ac:dyDescent="0.25">
      <c r="A339" s="40" t="s">
        <v>182</v>
      </c>
      <c r="B339" s="40">
        <v>3</v>
      </c>
      <c r="C339" s="41">
        <v>46102</v>
      </c>
      <c r="D339" s="40" t="s">
        <v>10</v>
      </c>
      <c r="E339" s="40" t="s">
        <v>24</v>
      </c>
      <c r="F339" s="40" t="s">
        <v>18</v>
      </c>
      <c r="G339" s="40" t="s">
        <v>24</v>
      </c>
      <c r="H339" s="42">
        <v>30</v>
      </c>
      <c r="I339" s="40" t="s">
        <v>13</v>
      </c>
    </row>
    <row r="340" spans="1:9" x14ac:dyDescent="0.25">
      <c r="A340" s="40" t="s">
        <v>182</v>
      </c>
      <c r="B340" s="40">
        <v>3</v>
      </c>
      <c r="C340" s="41">
        <v>46102</v>
      </c>
      <c r="D340" s="40" t="s">
        <v>10</v>
      </c>
      <c r="E340" s="40" t="s">
        <v>30</v>
      </c>
      <c r="F340" s="40" t="s">
        <v>18</v>
      </c>
      <c r="G340" s="40" t="s">
        <v>30</v>
      </c>
      <c r="H340" s="42">
        <v>25</v>
      </c>
      <c r="I340" s="40" t="s">
        <v>13</v>
      </c>
    </row>
    <row r="341" spans="1:9" x14ac:dyDescent="0.25">
      <c r="A341" s="40" t="s">
        <v>182</v>
      </c>
      <c r="B341" s="40">
        <v>3</v>
      </c>
      <c r="C341" s="41">
        <v>46102</v>
      </c>
      <c r="D341" s="40" t="s">
        <v>10</v>
      </c>
      <c r="E341" s="40" t="s">
        <v>72</v>
      </c>
      <c r="F341" s="40" t="s">
        <v>18</v>
      </c>
      <c r="G341" s="40" t="s">
        <v>72</v>
      </c>
      <c r="H341" s="42">
        <v>30</v>
      </c>
      <c r="I341" s="40" t="s">
        <v>13</v>
      </c>
    </row>
    <row r="342" spans="1:9" x14ac:dyDescent="0.25">
      <c r="A342" s="40" t="s">
        <v>182</v>
      </c>
      <c r="B342" s="40">
        <v>3</v>
      </c>
      <c r="C342" s="41">
        <v>46102</v>
      </c>
      <c r="D342" s="40" t="s">
        <v>10</v>
      </c>
      <c r="E342" s="40" t="s">
        <v>228</v>
      </c>
      <c r="F342" s="40" t="s">
        <v>12</v>
      </c>
      <c r="G342" s="40"/>
      <c r="H342" s="42">
        <v>8</v>
      </c>
      <c r="I342" s="40" t="s">
        <v>13</v>
      </c>
    </row>
    <row r="343" spans="1:9" x14ac:dyDescent="0.25">
      <c r="A343" s="40" t="s">
        <v>182</v>
      </c>
      <c r="B343" s="40">
        <v>3</v>
      </c>
      <c r="C343" s="41">
        <v>46102</v>
      </c>
      <c r="D343" s="40" t="s">
        <v>10</v>
      </c>
      <c r="E343" s="40" t="s">
        <v>229</v>
      </c>
      <c r="F343" s="40" t="s">
        <v>12</v>
      </c>
      <c r="G343" s="40"/>
      <c r="H343" s="42">
        <v>60</v>
      </c>
      <c r="I343" s="40" t="s">
        <v>13</v>
      </c>
    </row>
    <row r="344" spans="1:9" x14ac:dyDescent="0.25">
      <c r="A344" s="40" t="s">
        <v>182</v>
      </c>
      <c r="B344" s="40">
        <v>3</v>
      </c>
      <c r="C344" s="41">
        <v>46102</v>
      </c>
      <c r="D344" s="40" t="s">
        <v>10</v>
      </c>
      <c r="E344" s="40" t="s">
        <v>24</v>
      </c>
      <c r="F344" s="40" t="s">
        <v>18</v>
      </c>
      <c r="G344" s="40" t="s">
        <v>24</v>
      </c>
      <c r="H344" s="42">
        <v>70</v>
      </c>
      <c r="I344" s="40" t="s">
        <v>13</v>
      </c>
    </row>
    <row r="345" spans="1:9" x14ac:dyDescent="0.25">
      <c r="A345" s="40" t="s">
        <v>182</v>
      </c>
      <c r="B345" s="40">
        <v>3</v>
      </c>
      <c r="C345" s="41">
        <v>46103</v>
      </c>
      <c r="D345" s="40" t="s">
        <v>10</v>
      </c>
      <c r="E345" s="40" t="s">
        <v>230</v>
      </c>
      <c r="F345" s="40" t="s">
        <v>18</v>
      </c>
      <c r="G345" s="40" t="s">
        <v>24</v>
      </c>
      <c r="H345" s="42">
        <v>83</v>
      </c>
      <c r="I345" s="40" t="s">
        <v>13</v>
      </c>
    </row>
    <row r="346" spans="1:9" x14ac:dyDescent="0.25">
      <c r="A346" s="40" t="s">
        <v>182</v>
      </c>
      <c r="B346" s="40">
        <v>3</v>
      </c>
      <c r="C346" s="41">
        <v>46103</v>
      </c>
      <c r="D346" s="40" t="s">
        <v>14</v>
      </c>
      <c r="E346" s="40" t="s">
        <v>227</v>
      </c>
      <c r="F346" s="40"/>
      <c r="G346" s="40"/>
      <c r="H346" s="42">
        <v>30</v>
      </c>
      <c r="I346" s="40" t="s">
        <v>13</v>
      </c>
    </row>
    <row r="347" spans="1:9" x14ac:dyDescent="0.25">
      <c r="A347" s="40" t="s">
        <v>182</v>
      </c>
      <c r="B347" s="40">
        <v>3</v>
      </c>
      <c r="C347" s="41">
        <v>46103</v>
      </c>
      <c r="D347" s="40" t="s">
        <v>10</v>
      </c>
      <c r="E347" s="40" t="s">
        <v>231</v>
      </c>
      <c r="F347" s="40" t="s">
        <v>18</v>
      </c>
      <c r="G347" s="40" t="s">
        <v>91</v>
      </c>
      <c r="H347" s="42">
        <v>200</v>
      </c>
      <c r="I347" s="40" t="s">
        <v>13</v>
      </c>
    </row>
    <row r="348" spans="1:9" x14ac:dyDescent="0.25">
      <c r="A348" s="40" t="s">
        <v>182</v>
      </c>
      <c r="B348" s="40">
        <v>3</v>
      </c>
      <c r="C348" s="41">
        <v>46104</v>
      </c>
      <c r="D348" s="40" t="s">
        <v>10</v>
      </c>
      <c r="E348" s="40" t="s">
        <v>232</v>
      </c>
      <c r="F348" s="40" t="s">
        <v>18</v>
      </c>
      <c r="G348" s="40" t="s">
        <v>24</v>
      </c>
      <c r="H348" s="42">
        <v>60</v>
      </c>
      <c r="I348" s="40" t="s">
        <v>13</v>
      </c>
    </row>
    <row r="349" spans="1:9" x14ac:dyDescent="0.25">
      <c r="A349" s="40" t="s">
        <v>182</v>
      </c>
      <c r="B349" s="40">
        <v>3</v>
      </c>
      <c r="C349" s="41">
        <v>46104</v>
      </c>
      <c r="D349" s="40" t="s">
        <v>10</v>
      </c>
      <c r="E349" s="40" t="s">
        <v>88</v>
      </c>
      <c r="F349" s="40" t="s">
        <v>18</v>
      </c>
      <c r="G349" s="40" t="s">
        <v>88</v>
      </c>
      <c r="H349" s="42">
        <v>20</v>
      </c>
      <c r="I349" s="40" t="s">
        <v>13</v>
      </c>
    </row>
    <row r="350" spans="1:9" x14ac:dyDescent="0.25">
      <c r="A350" s="40" t="s">
        <v>182</v>
      </c>
      <c r="B350" s="40">
        <v>3</v>
      </c>
      <c r="C350" s="41">
        <v>46104</v>
      </c>
      <c r="D350" s="40" t="s">
        <v>10</v>
      </c>
      <c r="E350" s="40" t="s">
        <v>71</v>
      </c>
      <c r="F350" s="40" t="s">
        <v>18</v>
      </c>
      <c r="G350" s="40" t="s">
        <v>72</v>
      </c>
      <c r="H350" s="42">
        <v>50</v>
      </c>
      <c r="I350" s="40" t="s">
        <v>13</v>
      </c>
    </row>
    <row r="351" spans="1:9" x14ac:dyDescent="0.25">
      <c r="A351" s="40" t="s">
        <v>182</v>
      </c>
      <c r="B351" s="40">
        <v>3</v>
      </c>
      <c r="C351" s="41">
        <v>46104</v>
      </c>
      <c r="D351" s="40" t="s">
        <v>10</v>
      </c>
      <c r="E351" s="40" t="s">
        <v>233</v>
      </c>
      <c r="F351" s="40" t="s">
        <v>12</v>
      </c>
      <c r="G351" s="40"/>
      <c r="H351" s="42">
        <v>17</v>
      </c>
      <c r="I351" s="40" t="s">
        <v>13</v>
      </c>
    </row>
    <row r="352" spans="1:9" x14ac:dyDescent="0.25">
      <c r="A352" s="40" t="s">
        <v>182</v>
      </c>
      <c r="B352" s="40">
        <v>3</v>
      </c>
      <c r="C352" s="41">
        <v>46104</v>
      </c>
      <c r="D352" s="40" t="s">
        <v>10</v>
      </c>
      <c r="E352" s="40" t="s">
        <v>119</v>
      </c>
      <c r="F352" s="40" t="s">
        <v>12</v>
      </c>
      <c r="G352" s="40"/>
      <c r="H352" s="42">
        <v>5</v>
      </c>
      <c r="I352" s="40" t="s">
        <v>13</v>
      </c>
    </row>
    <row r="353" spans="1:9" x14ac:dyDescent="0.25">
      <c r="A353" s="40" t="s">
        <v>182</v>
      </c>
      <c r="B353" s="40">
        <v>3</v>
      </c>
      <c r="C353" s="41">
        <v>46104</v>
      </c>
      <c r="D353" s="40" t="s">
        <v>10</v>
      </c>
      <c r="E353" s="40" t="s">
        <v>222</v>
      </c>
      <c r="F353" s="40" t="s">
        <v>12</v>
      </c>
      <c r="G353" s="40"/>
      <c r="H353" s="42">
        <v>10</v>
      </c>
      <c r="I353" s="40" t="s">
        <v>13</v>
      </c>
    </row>
    <row r="354" spans="1:9" x14ac:dyDescent="0.25">
      <c r="A354" s="40" t="s">
        <v>182</v>
      </c>
      <c r="B354" s="40">
        <v>3</v>
      </c>
      <c r="C354" s="41">
        <v>46106</v>
      </c>
      <c r="D354" s="40" t="s">
        <v>10</v>
      </c>
      <c r="E354" s="40" t="s">
        <v>24</v>
      </c>
      <c r="F354" s="40" t="s">
        <v>18</v>
      </c>
      <c r="G354" s="40" t="s">
        <v>24</v>
      </c>
      <c r="H354" s="42">
        <v>35</v>
      </c>
      <c r="I354" s="40" t="s">
        <v>13</v>
      </c>
    </row>
    <row r="355" spans="1:9" x14ac:dyDescent="0.25">
      <c r="A355" s="40" t="s">
        <v>182</v>
      </c>
      <c r="B355" s="40">
        <v>3</v>
      </c>
      <c r="C355" s="41">
        <v>46106</v>
      </c>
      <c r="D355" s="40" t="s">
        <v>10</v>
      </c>
      <c r="E355" s="40" t="s">
        <v>19</v>
      </c>
      <c r="F355" s="40" t="s">
        <v>18</v>
      </c>
      <c r="G355" s="40" t="s">
        <v>19</v>
      </c>
      <c r="H355" s="42">
        <v>30</v>
      </c>
      <c r="I355" s="40" t="s">
        <v>13</v>
      </c>
    </row>
    <row r="356" spans="1:9" x14ac:dyDescent="0.25">
      <c r="A356" s="40" t="s">
        <v>182</v>
      </c>
      <c r="B356" s="40">
        <v>3</v>
      </c>
      <c r="C356" s="41">
        <v>46106</v>
      </c>
      <c r="D356" s="40" t="s">
        <v>10</v>
      </c>
      <c r="E356" s="40" t="s">
        <v>234</v>
      </c>
      <c r="F356" s="40" t="s">
        <v>18</v>
      </c>
      <c r="G356" s="40" t="s">
        <v>26</v>
      </c>
      <c r="H356" s="42">
        <v>15</v>
      </c>
      <c r="I356" s="40" t="s">
        <v>13</v>
      </c>
    </row>
    <row r="357" spans="1:9" x14ac:dyDescent="0.25">
      <c r="A357" s="40" t="s">
        <v>182</v>
      </c>
      <c r="B357" s="40">
        <v>3</v>
      </c>
      <c r="C357" s="41">
        <v>46106</v>
      </c>
      <c r="D357" s="40" t="s">
        <v>10</v>
      </c>
      <c r="E357" s="40" t="s">
        <v>72</v>
      </c>
      <c r="F357" s="40" t="s">
        <v>18</v>
      </c>
      <c r="G357" s="40" t="s">
        <v>72</v>
      </c>
      <c r="H357" s="42">
        <v>40</v>
      </c>
      <c r="I357" s="40" t="s">
        <v>13</v>
      </c>
    </row>
    <row r="358" spans="1:9" x14ac:dyDescent="0.25">
      <c r="A358" s="40" t="s">
        <v>182</v>
      </c>
      <c r="B358" s="40">
        <v>3</v>
      </c>
      <c r="C358" s="41">
        <v>46106</v>
      </c>
      <c r="D358" s="40" t="s">
        <v>10</v>
      </c>
      <c r="E358" s="40" t="s">
        <v>88</v>
      </c>
      <c r="F358" s="40" t="s">
        <v>18</v>
      </c>
      <c r="G358" s="40" t="s">
        <v>88</v>
      </c>
      <c r="H358" s="42">
        <v>15</v>
      </c>
      <c r="I358" s="40" t="s">
        <v>13</v>
      </c>
    </row>
    <row r="359" spans="1:9" x14ac:dyDescent="0.25">
      <c r="A359" s="40" t="s">
        <v>182</v>
      </c>
      <c r="B359" s="40">
        <v>3</v>
      </c>
      <c r="C359" s="41">
        <v>46107</v>
      </c>
      <c r="D359" s="40" t="s">
        <v>10</v>
      </c>
      <c r="E359" s="40" t="s">
        <v>24</v>
      </c>
      <c r="F359" s="40" t="s">
        <v>18</v>
      </c>
      <c r="G359" s="40" t="s">
        <v>24</v>
      </c>
      <c r="H359" s="42">
        <v>35</v>
      </c>
      <c r="I359" s="40" t="s">
        <v>13</v>
      </c>
    </row>
    <row r="360" spans="1:9" x14ac:dyDescent="0.25">
      <c r="A360" s="40" t="s">
        <v>182</v>
      </c>
      <c r="B360" s="40">
        <v>3</v>
      </c>
      <c r="C360" s="41">
        <v>46107</v>
      </c>
      <c r="D360" s="40" t="s">
        <v>10</v>
      </c>
      <c r="E360" s="40" t="s">
        <v>26</v>
      </c>
      <c r="F360" s="40" t="s">
        <v>18</v>
      </c>
      <c r="G360" s="40" t="s">
        <v>26</v>
      </c>
      <c r="H360" s="42">
        <v>15</v>
      </c>
      <c r="I360" s="40" t="s">
        <v>13</v>
      </c>
    </row>
    <row r="361" spans="1:9" x14ac:dyDescent="0.25">
      <c r="A361" s="40" t="s">
        <v>182</v>
      </c>
      <c r="B361" s="40">
        <v>3</v>
      </c>
      <c r="C361" s="41">
        <v>46108</v>
      </c>
      <c r="D361" s="40" t="s">
        <v>10</v>
      </c>
      <c r="E361" s="40" t="s">
        <v>26</v>
      </c>
      <c r="F361" s="40" t="s">
        <v>18</v>
      </c>
      <c r="G361" s="40" t="s">
        <v>26</v>
      </c>
      <c r="H361" s="42">
        <v>13</v>
      </c>
      <c r="I361" s="40" t="s">
        <v>13</v>
      </c>
    </row>
    <row r="362" spans="1:9" x14ac:dyDescent="0.25">
      <c r="A362" s="40" t="s">
        <v>182</v>
      </c>
      <c r="B362" s="40">
        <v>3</v>
      </c>
      <c r="C362" s="41">
        <v>46108</v>
      </c>
      <c r="D362" s="40" t="s">
        <v>10</v>
      </c>
      <c r="E362" s="40" t="s">
        <v>235</v>
      </c>
      <c r="F362" s="40" t="s">
        <v>12</v>
      </c>
      <c r="G362" s="40"/>
      <c r="H362" s="42">
        <v>17</v>
      </c>
      <c r="I362" s="40" t="s">
        <v>13</v>
      </c>
    </row>
    <row r="363" spans="1:9" x14ac:dyDescent="0.25">
      <c r="A363" s="40" t="s">
        <v>182</v>
      </c>
      <c r="B363" s="40">
        <v>3</v>
      </c>
      <c r="C363" s="41">
        <v>46109</v>
      </c>
      <c r="D363" s="40" t="s">
        <v>10</v>
      </c>
      <c r="E363" s="40" t="s">
        <v>26</v>
      </c>
      <c r="F363" s="40" t="s">
        <v>18</v>
      </c>
      <c r="G363" s="40" t="s">
        <v>26</v>
      </c>
      <c r="H363" s="42">
        <v>15</v>
      </c>
      <c r="I363" s="40" t="s">
        <v>13</v>
      </c>
    </row>
    <row r="364" spans="1:9" x14ac:dyDescent="0.25">
      <c r="A364" s="40" t="s">
        <v>182</v>
      </c>
      <c r="B364" s="40">
        <v>3</v>
      </c>
      <c r="C364" s="41">
        <v>46109</v>
      </c>
      <c r="D364" s="40" t="s">
        <v>10</v>
      </c>
      <c r="E364" s="40" t="s">
        <v>72</v>
      </c>
      <c r="F364" s="40" t="s">
        <v>18</v>
      </c>
      <c r="G364" s="40" t="s">
        <v>72</v>
      </c>
      <c r="H364" s="42">
        <v>60</v>
      </c>
      <c r="I364" s="40" t="s">
        <v>13</v>
      </c>
    </row>
    <row r="365" spans="1:9" x14ac:dyDescent="0.25">
      <c r="A365" s="40" t="s">
        <v>182</v>
      </c>
      <c r="B365" s="40">
        <v>3</v>
      </c>
      <c r="C365" s="41">
        <v>46109</v>
      </c>
      <c r="D365" s="40" t="s">
        <v>10</v>
      </c>
      <c r="E365" s="40" t="s">
        <v>115</v>
      </c>
      <c r="F365" s="40" t="s">
        <v>12</v>
      </c>
      <c r="G365" s="40"/>
      <c r="H365" s="42">
        <v>40</v>
      </c>
      <c r="I365" s="40" t="s">
        <v>13</v>
      </c>
    </row>
    <row r="366" spans="1:9" x14ac:dyDescent="0.25">
      <c r="A366" s="40" t="s">
        <v>182</v>
      </c>
      <c r="B366" s="40">
        <v>3</v>
      </c>
      <c r="C366" s="41">
        <v>46110</v>
      </c>
      <c r="D366" s="40" t="s">
        <v>10</v>
      </c>
      <c r="E366" s="40" t="s">
        <v>92</v>
      </c>
      <c r="F366" s="40" t="s">
        <v>12</v>
      </c>
      <c r="G366" s="40"/>
      <c r="H366" s="42">
        <v>24</v>
      </c>
      <c r="I366" s="40" t="s">
        <v>13</v>
      </c>
    </row>
    <row r="367" spans="1:9" x14ac:dyDescent="0.25">
      <c r="A367" s="40" t="s">
        <v>182</v>
      </c>
      <c r="B367" s="40">
        <v>3</v>
      </c>
      <c r="C367" s="41">
        <v>46110</v>
      </c>
      <c r="D367" s="40" t="s">
        <v>10</v>
      </c>
      <c r="E367" s="40" t="s">
        <v>115</v>
      </c>
      <c r="F367" s="40" t="s">
        <v>12</v>
      </c>
      <c r="G367" s="40"/>
      <c r="H367" s="42">
        <v>165</v>
      </c>
      <c r="I367" s="40" t="s">
        <v>13</v>
      </c>
    </row>
    <row r="368" spans="1:9" x14ac:dyDescent="0.25">
      <c r="A368" s="40" t="s">
        <v>182</v>
      </c>
      <c r="B368" s="40">
        <v>3</v>
      </c>
      <c r="C368" s="41">
        <v>46110</v>
      </c>
      <c r="D368" s="40" t="s">
        <v>10</v>
      </c>
      <c r="E368" s="40" t="s">
        <v>236</v>
      </c>
      <c r="F368" s="40" t="s">
        <v>12</v>
      </c>
      <c r="G368" s="40"/>
      <c r="H368" s="42">
        <v>5</v>
      </c>
      <c r="I368" s="40" t="s">
        <v>13</v>
      </c>
    </row>
    <row r="369" spans="1:9" x14ac:dyDescent="0.25">
      <c r="A369" s="40" t="s">
        <v>182</v>
      </c>
      <c r="B369" s="40">
        <v>3</v>
      </c>
      <c r="C369" s="41">
        <v>46110</v>
      </c>
      <c r="D369" s="40" t="s">
        <v>10</v>
      </c>
      <c r="E369" s="40" t="s">
        <v>237</v>
      </c>
      <c r="F369" s="40" t="s">
        <v>12</v>
      </c>
      <c r="G369" s="40"/>
      <c r="H369" s="42">
        <v>10</v>
      </c>
      <c r="I369" s="40" t="s">
        <v>13</v>
      </c>
    </row>
    <row r="370" spans="1:9" x14ac:dyDescent="0.25">
      <c r="A370" s="40" t="s">
        <v>182</v>
      </c>
      <c r="B370" s="40">
        <v>3</v>
      </c>
      <c r="C370" s="41">
        <v>46111</v>
      </c>
      <c r="D370" s="40" t="s">
        <v>10</v>
      </c>
      <c r="E370" s="40" t="s">
        <v>238</v>
      </c>
      <c r="F370" s="40" t="s">
        <v>12</v>
      </c>
      <c r="G370" s="40"/>
      <c r="H370" s="42">
        <v>9</v>
      </c>
      <c r="I370" s="40" t="s">
        <v>13</v>
      </c>
    </row>
    <row r="371" spans="1:9" x14ac:dyDescent="0.25">
      <c r="A371" s="40" t="s">
        <v>182</v>
      </c>
      <c r="B371" s="40">
        <v>3</v>
      </c>
      <c r="C371" s="41">
        <v>46111</v>
      </c>
      <c r="D371" s="40" t="s">
        <v>10</v>
      </c>
      <c r="E371" s="40" t="s">
        <v>239</v>
      </c>
      <c r="F371" s="40" t="s">
        <v>12</v>
      </c>
      <c r="G371" s="40"/>
      <c r="H371" s="42">
        <v>5.5</v>
      </c>
      <c r="I371" s="40" t="s">
        <v>13</v>
      </c>
    </row>
    <row r="372" spans="1:9" x14ac:dyDescent="0.25">
      <c r="A372" s="40" t="s">
        <v>182</v>
      </c>
      <c r="B372" s="40">
        <v>3</v>
      </c>
      <c r="C372" s="41">
        <v>46112</v>
      </c>
      <c r="D372" s="40" t="s">
        <v>10</v>
      </c>
      <c r="E372" s="40" t="s">
        <v>240</v>
      </c>
      <c r="F372" s="40" t="s">
        <v>12</v>
      </c>
      <c r="G372" s="40"/>
      <c r="H372" s="42">
        <v>10</v>
      </c>
      <c r="I372" s="40" t="s">
        <v>21</v>
      </c>
    </row>
    <row r="373" spans="1:9" x14ac:dyDescent="0.25">
      <c r="A373" s="40" t="s">
        <v>182</v>
      </c>
      <c r="B373" s="40">
        <v>3</v>
      </c>
      <c r="C373" s="41">
        <v>46112</v>
      </c>
      <c r="D373" s="40" t="s">
        <v>10</v>
      </c>
      <c r="E373" s="40" t="s">
        <v>186</v>
      </c>
      <c r="F373" s="40" t="s">
        <v>12</v>
      </c>
      <c r="G373" s="40"/>
      <c r="H373" s="42">
        <v>50</v>
      </c>
      <c r="I373" s="40" t="s">
        <v>13</v>
      </c>
    </row>
    <row r="374" spans="1:9" x14ac:dyDescent="0.25">
      <c r="A374" s="40" t="s">
        <v>182</v>
      </c>
      <c r="B374" s="40">
        <v>3</v>
      </c>
      <c r="C374" s="41">
        <v>46112</v>
      </c>
      <c r="D374" s="40" t="s">
        <v>10</v>
      </c>
      <c r="E374" s="40" t="s">
        <v>189</v>
      </c>
      <c r="F374" s="40" t="s">
        <v>12</v>
      </c>
      <c r="G374" s="40"/>
      <c r="H374" s="42">
        <v>33</v>
      </c>
      <c r="I374" s="40" t="s">
        <v>13</v>
      </c>
    </row>
    <row r="375" spans="1:9" x14ac:dyDescent="0.25">
      <c r="A375" s="40" t="s">
        <v>182</v>
      </c>
      <c r="B375" s="40">
        <v>3</v>
      </c>
      <c r="C375" s="41">
        <v>46112</v>
      </c>
      <c r="D375" s="40" t="s">
        <v>10</v>
      </c>
      <c r="E375" s="40" t="s">
        <v>241</v>
      </c>
      <c r="F375" s="40" t="s">
        <v>12</v>
      </c>
      <c r="G375" s="40"/>
      <c r="H375" s="42">
        <v>10</v>
      </c>
      <c r="I375" s="40" t="s">
        <v>13</v>
      </c>
    </row>
    <row r="376" spans="1:9" x14ac:dyDescent="0.25">
      <c r="A376" s="40" t="s">
        <v>182</v>
      </c>
      <c r="B376" s="40">
        <v>3</v>
      </c>
      <c r="C376" s="41">
        <v>46112</v>
      </c>
      <c r="D376" s="40" t="s">
        <v>10</v>
      </c>
      <c r="E376" s="40" t="s">
        <v>242</v>
      </c>
      <c r="F376" s="40" t="s">
        <v>18</v>
      </c>
      <c r="G376" s="40" t="s">
        <v>72</v>
      </c>
      <c r="H376" s="42">
        <v>50</v>
      </c>
      <c r="I376" s="40" t="s">
        <v>13</v>
      </c>
    </row>
    <row r="377" spans="1:9" x14ac:dyDescent="0.25">
      <c r="A377" s="40" t="s">
        <v>182</v>
      </c>
      <c r="B377" s="40">
        <v>3</v>
      </c>
      <c r="C377" s="41">
        <v>46112</v>
      </c>
      <c r="D377" s="40" t="s">
        <v>10</v>
      </c>
      <c r="E377" s="40" t="s">
        <v>159</v>
      </c>
      <c r="F377" s="40" t="s">
        <v>12</v>
      </c>
      <c r="G377" s="40"/>
      <c r="H377" s="42">
        <v>10</v>
      </c>
      <c r="I377" s="40" t="s">
        <v>13</v>
      </c>
    </row>
    <row r="378" spans="1:9" x14ac:dyDescent="0.25">
      <c r="A378" s="40" t="s">
        <v>182</v>
      </c>
      <c r="B378" s="40">
        <v>3</v>
      </c>
      <c r="C378" s="41">
        <v>46112</v>
      </c>
      <c r="D378" s="40" t="s">
        <v>10</v>
      </c>
      <c r="E378" s="40" t="s">
        <v>243</v>
      </c>
      <c r="F378" s="40" t="s">
        <v>12</v>
      </c>
      <c r="G378" s="40"/>
      <c r="H378" s="42">
        <v>9</v>
      </c>
      <c r="I378" s="40" t="s">
        <v>13</v>
      </c>
    </row>
    <row r="379" spans="1:9" x14ac:dyDescent="0.25">
      <c r="A379" s="40" t="s">
        <v>182</v>
      </c>
      <c r="B379" s="40">
        <v>3</v>
      </c>
      <c r="C379" s="41">
        <v>46112</v>
      </c>
      <c r="D379" s="40" t="s">
        <v>10</v>
      </c>
      <c r="E379" s="40" t="s">
        <v>244</v>
      </c>
      <c r="F379" s="40" t="s">
        <v>18</v>
      </c>
      <c r="G379" s="40" t="s">
        <v>26</v>
      </c>
      <c r="H379" s="42">
        <v>15</v>
      </c>
      <c r="I379" s="40" t="s">
        <v>13</v>
      </c>
    </row>
    <row r="380" spans="1:9" x14ac:dyDescent="0.25">
      <c r="A380" s="40" t="s">
        <v>182</v>
      </c>
      <c r="B380" s="40">
        <v>3</v>
      </c>
      <c r="C380" s="41">
        <v>46112</v>
      </c>
      <c r="D380" s="40" t="s">
        <v>10</v>
      </c>
      <c r="E380" s="40" t="s">
        <v>245</v>
      </c>
      <c r="F380" s="40" t="s">
        <v>12</v>
      </c>
      <c r="G380" s="40"/>
      <c r="H380" s="42">
        <v>5</v>
      </c>
      <c r="I380" s="40" t="s">
        <v>13</v>
      </c>
    </row>
    <row r="381" spans="1:9" x14ac:dyDescent="0.25">
      <c r="A381" s="40" t="s">
        <v>182</v>
      </c>
      <c r="B381" s="40">
        <v>3</v>
      </c>
      <c r="C381" s="41">
        <v>46112</v>
      </c>
      <c r="D381" s="40" t="s">
        <v>10</v>
      </c>
      <c r="E381" s="40" t="s">
        <v>246</v>
      </c>
      <c r="F381" s="40" t="s">
        <v>12</v>
      </c>
      <c r="G381" s="40"/>
      <c r="H381" s="42">
        <v>45</v>
      </c>
      <c r="I381" s="40" t="s">
        <v>13</v>
      </c>
    </row>
    <row r="382" spans="1:9" x14ac:dyDescent="0.25">
      <c r="A382" s="40" t="s">
        <v>247</v>
      </c>
      <c r="B382" s="40">
        <v>4</v>
      </c>
      <c r="C382" s="41">
        <v>46113</v>
      </c>
      <c r="D382" s="40" t="s">
        <v>10</v>
      </c>
      <c r="E382" s="40" t="s">
        <v>31</v>
      </c>
      <c r="F382" s="40" t="s">
        <v>12</v>
      </c>
      <c r="G382" s="40"/>
      <c r="H382" s="42">
        <v>6</v>
      </c>
      <c r="I382" s="40" t="s">
        <v>13</v>
      </c>
    </row>
    <row r="383" spans="1:9" x14ac:dyDescent="0.25">
      <c r="A383" s="40" t="s">
        <v>247</v>
      </c>
      <c r="B383" s="40">
        <v>4</v>
      </c>
      <c r="C383" s="41">
        <v>46113</v>
      </c>
      <c r="D383" s="40" t="s">
        <v>10</v>
      </c>
      <c r="E383" s="40" t="s">
        <v>65</v>
      </c>
      <c r="F383" s="40" t="s">
        <v>12</v>
      </c>
      <c r="G383" s="40"/>
      <c r="H383" s="42">
        <v>15</v>
      </c>
      <c r="I383" s="40" t="s">
        <v>13</v>
      </c>
    </row>
    <row r="384" spans="1:9" x14ac:dyDescent="0.25">
      <c r="A384" s="40" t="s">
        <v>247</v>
      </c>
      <c r="B384" s="40">
        <v>4</v>
      </c>
      <c r="C384" s="41">
        <v>46113</v>
      </c>
      <c r="D384" s="40" t="s">
        <v>10</v>
      </c>
      <c r="E384" s="40" t="s">
        <v>195</v>
      </c>
      <c r="F384" s="40" t="s">
        <v>12</v>
      </c>
      <c r="G384" s="40"/>
      <c r="H384" s="42">
        <v>30</v>
      </c>
      <c r="I384" s="40" t="s">
        <v>21</v>
      </c>
    </row>
    <row r="385" spans="1:9" x14ac:dyDescent="0.25">
      <c r="A385" s="40" t="s">
        <v>247</v>
      </c>
      <c r="B385" s="40">
        <v>4</v>
      </c>
      <c r="C385" s="41">
        <v>46113</v>
      </c>
      <c r="D385" s="40" t="s">
        <v>10</v>
      </c>
      <c r="E385" s="40" t="s">
        <v>38</v>
      </c>
      <c r="F385" s="40" t="s">
        <v>12</v>
      </c>
      <c r="G385" s="40"/>
      <c r="H385" s="42">
        <v>11</v>
      </c>
      <c r="I385" s="40" t="s">
        <v>21</v>
      </c>
    </row>
    <row r="386" spans="1:9" x14ac:dyDescent="0.25">
      <c r="A386" s="40" t="s">
        <v>247</v>
      </c>
      <c r="B386" s="40">
        <v>4</v>
      </c>
      <c r="C386" s="41">
        <v>46114</v>
      </c>
      <c r="D386" s="40" t="s">
        <v>10</v>
      </c>
      <c r="E386" s="40" t="s">
        <v>248</v>
      </c>
      <c r="F386" s="40" t="s">
        <v>12</v>
      </c>
      <c r="G386" s="40"/>
      <c r="H386" s="42">
        <v>5</v>
      </c>
      <c r="I386" s="40" t="s">
        <v>13</v>
      </c>
    </row>
    <row r="387" spans="1:9" x14ac:dyDescent="0.25">
      <c r="A387" s="40" t="s">
        <v>247</v>
      </c>
      <c r="B387" s="40">
        <v>4</v>
      </c>
      <c r="C387" s="41">
        <v>46114</v>
      </c>
      <c r="D387" s="40" t="s">
        <v>10</v>
      </c>
      <c r="E387" s="40" t="s">
        <v>249</v>
      </c>
      <c r="F387" s="40" t="s">
        <v>12</v>
      </c>
      <c r="G387" s="40"/>
      <c r="H387" s="42">
        <v>12</v>
      </c>
      <c r="I387" s="40" t="s">
        <v>13</v>
      </c>
    </row>
    <row r="388" spans="1:9" x14ac:dyDescent="0.25">
      <c r="A388" s="40" t="s">
        <v>247</v>
      </c>
      <c r="B388" s="40">
        <v>4</v>
      </c>
      <c r="C388" s="41">
        <v>46114</v>
      </c>
      <c r="D388" s="40" t="s">
        <v>10</v>
      </c>
      <c r="E388" s="40" t="s">
        <v>250</v>
      </c>
      <c r="F388" s="40" t="s">
        <v>12</v>
      </c>
      <c r="G388" s="40"/>
      <c r="H388" s="42">
        <v>4</v>
      </c>
      <c r="I388" s="40" t="s">
        <v>13</v>
      </c>
    </row>
    <row r="389" spans="1:9" x14ac:dyDescent="0.25">
      <c r="A389" s="40" t="s">
        <v>247</v>
      </c>
      <c r="B389" s="40">
        <v>4</v>
      </c>
      <c r="C389" s="41">
        <v>46114</v>
      </c>
      <c r="D389" s="40" t="s">
        <v>10</v>
      </c>
      <c r="E389" s="40" t="s">
        <v>183</v>
      </c>
      <c r="F389" s="40" t="s">
        <v>12</v>
      </c>
      <c r="G389" s="40"/>
      <c r="H389" s="42">
        <v>8.5</v>
      </c>
      <c r="I389" s="40" t="s">
        <v>13</v>
      </c>
    </row>
    <row r="390" spans="1:9" x14ac:dyDescent="0.25">
      <c r="A390" s="40" t="s">
        <v>247</v>
      </c>
      <c r="B390" s="40">
        <v>4</v>
      </c>
      <c r="C390" s="41">
        <v>46114</v>
      </c>
      <c r="D390" s="40" t="s">
        <v>10</v>
      </c>
      <c r="E390" s="40" t="s">
        <v>251</v>
      </c>
      <c r="F390" s="40" t="s">
        <v>12</v>
      </c>
      <c r="G390" s="40"/>
      <c r="H390" s="42">
        <v>10</v>
      </c>
      <c r="I390" s="40" t="s">
        <v>13</v>
      </c>
    </row>
    <row r="391" spans="1:9" x14ac:dyDescent="0.25">
      <c r="A391" s="40" t="s">
        <v>247</v>
      </c>
      <c r="B391" s="40">
        <v>4</v>
      </c>
      <c r="C391" s="41">
        <v>46114</v>
      </c>
      <c r="D391" s="40" t="s">
        <v>10</v>
      </c>
      <c r="E391" s="40" t="s">
        <v>252</v>
      </c>
      <c r="F391" s="40" t="s">
        <v>12</v>
      </c>
      <c r="G391" s="40"/>
      <c r="H391" s="42">
        <v>10</v>
      </c>
      <c r="I391" s="40" t="s">
        <v>13</v>
      </c>
    </row>
    <row r="392" spans="1:9" x14ac:dyDescent="0.25">
      <c r="A392" s="40" t="s">
        <v>247</v>
      </c>
      <c r="B392" s="40">
        <v>4</v>
      </c>
      <c r="C392" s="41">
        <v>46114</v>
      </c>
      <c r="D392" s="40" t="s">
        <v>10</v>
      </c>
      <c r="E392" s="40" t="s">
        <v>30</v>
      </c>
      <c r="F392" s="40" t="s">
        <v>18</v>
      </c>
      <c r="G392" s="40" t="s">
        <v>30</v>
      </c>
      <c r="H392" s="42">
        <v>30</v>
      </c>
      <c r="I392" s="40" t="s">
        <v>13</v>
      </c>
    </row>
    <row r="393" spans="1:9" x14ac:dyDescent="0.25">
      <c r="A393" s="40" t="s">
        <v>247</v>
      </c>
      <c r="B393" s="40">
        <v>4</v>
      </c>
      <c r="C393" s="41">
        <v>46114</v>
      </c>
      <c r="D393" s="40" t="s">
        <v>10</v>
      </c>
      <c r="E393" s="40" t="s">
        <v>49</v>
      </c>
      <c r="F393" s="40" t="s">
        <v>18</v>
      </c>
      <c r="G393" s="40" t="s">
        <v>24</v>
      </c>
      <c r="H393" s="42">
        <v>60</v>
      </c>
      <c r="I393" s="40" t="s">
        <v>13</v>
      </c>
    </row>
    <row r="394" spans="1:9" x14ac:dyDescent="0.25">
      <c r="A394" s="40" t="s">
        <v>247</v>
      </c>
      <c r="B394" s="40">
        <v>4</v>
      </c>
      <c r="C394" s="41">
        <v>46114</v>
      </c>
      <c r="D394" s="40" t="s">
        <v>10</v>
      </c>
      <c r="E394" s="40" t="s">
        <v>253</v>
      </c>
      <c r="F394" s="40" t="s">
        <v>12</v>
      </c>
      <c r="G394" s="40"/>
      <c r="H394" s="42">
        <v>40</v>
      </c>
      <c r="I394" s="40" t="s">
        <v>13</v>
      </c>
    </row>
    <row r="395" spans="1:9" x14ac:dyDescent="0.25">
      <c r="A395" s="40" t="s">
        <v>247</v>
      </c>
      <c r="B395" s="40">
        <v>4</v>
      </c>
      <c r="C395" s="41">
        <v>46114</v>
      </c>
      <c r="D395" s="40" t="s">
        <v>10</v>
      </c>
      <c r="E395" s="40" t="s">
        <v>254</v>
      </c>
      <c r="F395" s="40" t="s">
        <v>12</v>
      </c>
      <c r="G395" s="40"/>
      <c r="H395" s="42">
        <v>35</v>
      </c>
      <c r="I395" s="40" t="s">
        <v>13</v>
      </c>
    </row>
    <row r="396" spans="1:9" x14ac:dyDescent="0.25">
      <c r="A396" s="40" t="s">
        <v>247</v>
      </c>
      <c r="B396" s="40">
        <v>4</v>
      </c>
      <c r="C396" s="41">
        <v>46114</v>
      </c>
      <c r="D396" s="40" t="s">
        <v>10</v>
      </c>
      <c r="E396" s="40" t="s">
        <v>152</v>
      </c>
      <c r="F396" s="40" t="s">
        <v>12</v>
      </c>
      <c r="G396" s="40"/>
      <c r="H396" s="42">
        <v>40</v>
      </c>
      <c r="I396" s="40" t="s">
        <v>13</v>
      </c>
    </row>
    <row r="397" spans="1:9" x14ac:dyDescent="0.25">
      <c r="A397" s="40" t="s">
        <v>247</v>
      </c>
      <c r="B397" s="40">
        <v>4</v>
      </c>
      <c r="C397" s="41">
        <v>46114</v>
      </c>
      <c r="D397" s="40" t="s">
        <v>10</v>
      </c>
      <c r="E397" s="40" t="s">
        <v>255</v>
      </c>
      <c r="F397" s="40" t="s">
        <v>12</v>
      </c>
      <c r="G397" s="40"/>
      <c r="H397" s="42">
        <v>15</v>
      </c>
      <c r="I397" s="40" t="s">
        <v>13</v>
      </c>
    </row>
    <row r="398" spans="1:9" x14ac:dyDescent="0.25">
      <c r="A398" s="40" t="s">
        <v>247</v>
      </c>
      <c r="B398" s="40">
        <v>4</v>
      </c>
      <c r="C398" s="41">
        <v>46115</v>
      </c>
      <c r="D398" s="40" t="s">
        <v>10</v>
      </c>
      <c r="E398" s="40" t="s">
        <v>256</v>
      </c>
      <c r="F398" s="40" t="s">
        <v>18</v>
      </c>
      <c r="G398" s="40" t="s">
        <v>26</v>
      </c>
      <c r="H398" s="42">
        <v>35</v>
      </c>
      <c r="I398" s="40" t="s">
        <v>13</v>
      </c>
    </row>
    <row r="399" spans="1:9" x14ac:dyDescent="0.25">
      <c r="A399" s="40" t="s">
        <v>247</v>
      </c>
      <c r="B399" s="40">
        <v>4</v>
      </c>
      <c r="C399" s="41">
        <v>46115</v>
      </c>
      <c r="D399" s="40" t="s">
        <v>10</v>
      </c>
      <c r="E399" s="40" t="s">
        <v>257</v>
      </c>
      <c r="F399" s="40" t="s">
        <v>12</v>
      </c>
      <c r="G399" s="40"/>
      <c r="H399" s="42">
        <v>3</v>
      </c>
      <c r="I399" s="40" t="s">
        <v>13</v>
      </c>
    </row>
    <row r="400" spans="1:9" x14ac:dyDescent="0.25">
      <c r="A400" s="40" t="s">
        <v>247</v>
      </c>
      <c r="B400" s="40">
        <v>4</v>
      </c>
      <c r="C400" s="41">
        <v>46115</v>
      </c>
      <c r="D400" s="40" t="s">
        <v>10</v>
      </c>
      <c r="E400" s="40" t="s">
        <v>44</v>
      </c>
      <c r="F400" s="40" t="s">
        <v>12</v>
      </c>
      <c r="G400" s="40"/>
      <c r="H400" s="42">
        <v>10</v>
      </c>
      <c r="I400" s="40" t="s">
        <v>13</v>
      </c>
    </row>
    <row r="401" spans="1:9" x14ac:dyDescent="0.25">
      <c r="A401" s="40" t="s">
        <v>247</v>
      </c>
      <c r="B401" s="40">
        <v>4</v>
      </c>
      <c r="C401" s="41">
        <v>46115</v>
      </c>
      <c r="D401" s="40" t="s">
        <v>10</v>
      </c>
      <c r="E401" s="40" t="s">
        <v>258</v>
      </c>
      <c r="F401" s="40" t="s">
        <v>12</v>
      </c>
      <c r="G401" s="40"/>
      <c r="H401" s="42">
        <v>30</v>
      </c>
      <c r="I401" s="40" t="s">
        <v>13</v>
      </c>
    </row>
    <row r="402" spans="1:9" x14ac:dyDescent="0.25">
      <c r="A402" s="40" t="s">
        <v>247</v>
      </c>
      <c r="B402" s="40">
        <v>4</v>
      </c>
      <c r="C402" s="41">
        <v>46115</v>
      </c>
      <c r="D402" s="40" t="s">
        <v>10</v>
      </c>
      <c r="E402" s="40" t="s">
        <v>150</v>
      </c>
      <c r="F402" s="40" t="s">
        <v>12</v>
      </c>
      <c r="G402" s="40"/>
      <c r="H402" s="42">
        <v>20</v>
      </c>
      <c r="I402" s="40" t="s">
        <v>13</v>
      </c>
    </row>
    <row r="403" spans="1:9" x14ac:dyDescent="0.25">
      <c r="A403" s="40" t="s">
        <v>247</v>
      </c>
      <c r="B403" s="40">
        <v>4</v>
      </c>
      <c r="C403" s="41">
        <v>46115</v>
      </c>
      <c r="D403" s="40" t="s">
        <v>10</v>
      </c>
      <c r="E403" s="40" t="s">
        <v>259</v>
      </c>
      <c r="F403" s="40" t="s">
        <v>12</v>
      </c>
      <c r="G403" s="40"/>
      <c r="H403" s="42">
        <v>18</v>
      </c>
      <c r="I403" s="40" t="s">
        <v>13</v>
      </c>
    </row>
    <row r="404" spans="1:9" x14ac:dyDescent="0.25">
      <c r="A404" s="40" t="s">
        <v>247</v>
      </c>
      <c r="B404" s="40">
        <v>4</v>
      </c>
      <c r="C404" s="41">
        <v>46115</v>
      </c>
      <c r="D404" s="40" t="s">
        <v>10</v>
      </c>
      <c r="E404" s="40" t="s">
        <v>79</v>
      </c>
      <c r="F404" s="40" t="s">
        <v>12</v>
      </c>
      <c r="G404" s="40"/>
      <c r="H404" s="42">
        <v>11.5</v>
      </c>
      <c r="I404" s="40" t="s">
        <v>13</v>
      </c>
    </row>
    <row r="405" spans="1:9" x14ac:dyDescent="0.25">
      <c r="A405" s="40" t="s">
        <v>247</v>
      </c>
      <c r="B405" s="40">
        <v>4</v>
      </c>
      <c r="C405" s="41">
        <v>46115</v>
      </c>
      <c r="D405" s="40" t="s">
        <v>10</v>
      </c>
      <c r="E405" s="40" t="s">
        <v>24</v>
      </c>
      <c r="F405" s="40" t="s">
        <v>18</v>
      </c>
      <c r="G405" s="40" t="s">
        <v>24</v>
      </c>
      <c r="H405" s="42">
        <v>35</v>
      </c>
      <c r="I405" s="40" t="s">
        <v>13</v>
      </c>
    </row>
    <row r="406" spans="1:9" x14ac:dyDescent="0.25">
      <c r="A406" s="40" t="s">
        <v>247</v>
      </c>
      <c r="B406" s="40">
        <v>4</v>
      </c>
      <c r="C406" s="41">
        <v>46115</v>
      </c>
      <c r="D406" s="40" t="s">
        <v>10</v>
      </c>
      <c r="E406" s="40" t="s">
        <v>260</v>
      </c>
      <c r="F406" s="40" t="s">
        <v>12</v>
      </c>
      <c r="G406" s="40"/>
      <c r="H406" s="42">
        <v>31</v>
      </c>
      <c r="I406" s="40" t="s">
        <v>21</v>
      </c>
    </row>
    <row r="407" spans="1:9" x14ac:dyDescent="0.25">
      <c r="A407" s="40" t="s">
        <v>247</v>
      </c>
      <c r="B407" s="40">
        <v>4</v>
      </c>
      <c r="C407" s="41">
        <v>46115</v>
      </c>
      <c r="D407" s="40" t="s">
        <v>10</v>
      </c>
      <c r="E407" s="40" t="s">
        <v>72</v>
      </c>
      <c r="F407" s="40" t="s">
        <v>18</v>
      </c>
      <c r="G407" s="40" t="s">
        <v>72</v>
      </c>
      <c r="H407" s="42">
        <v>40</v>
      </c>
      <c r="I407" s="40" t="s">
        <v>21</v>
      </c>
    </row>
    <row r="408" spans="1:9" x14ac:dyDescent="0.25">
      <c r="A408" s="40" t="s">
        <v>247</v>
      </c>
      <c r="B408" s="40">
        <v>4</v>
      </c>
      <c r="C408" s="41">
        <v>46115</v>
      </c>
      <c r="D408" s="40" t="s">
        <v>10</v>
      </c>
      <c r="E408" s="40" t="s">
        <v>261</v>
      </c>
      <c r="F408" s="40" t="s">
        <v>12</v>
      </c>
      <c r="G408" s="40"/>
      <c r="H408" s="42">
        <v>20</v>
      </c>
      <c r="I408" s="40" t="s">
        <v>13</v>
      </c>
    </row>
    <row r="409" spans="1:9" x14ac:dyDescent="0.25">
      <c r="A409" s="40" t="s">
        <v>247</v>
      </c>
      <c r="B409" s="40">
        <v>4</v>
      </c>
      <c r="C409" s="41">
        <v>46115</v>
      </c>
      <c r="D409" s="40" t="s">
        <v>10</v>
      </c>
      <c r="E409" s="40" t="s">
        <v>262</v>
      </c>
      <c r="F409" s="40" t="s">
        <v>12</v>
      </c>
      <c r="G409" s="40"/>
      <c r="H409" s="42">
        <v>17</v>
      </c>
      <c r="I409" s="40" t="s">
        <v>13</v>
      </c>
    </row>
    <row r="410" spans="1:9" x14ac:dyDescent="0.25">
      <c r="A410" s="40" t="s">
        <v>247</v>
      </c>
      <c r="B410" s="40">
        <v>4</v>
      </c>
      <c r="C410" s="41">
        <v>46115</v>
      </c>
      <c r="D410" s="40" t="s">
        <v>10</v>
      </c>
      <c r="E410" s="40" t="s">
        <v>263</v>
      </c>
      <c r="F410" s="40" t="s">
        <v>12</v>
      </c>
      <c r="G410" s="40"/>
      <c r="H410" s="42">
        <v>3.5</v>
      </c>
      <c r="I410" s="40" t="s">
        <v>13</v>
      </c>
    </row>
    <row r="411" spans="1:9" x14ac:dyDescent="0.25">
      <c r="A411" s="40" t="s">
        <v>247</v>
      </c>
      <c r="B411" s="40">
        <v>4</v>
      </c>
      <c r="C411" s="41">
        <v>46115</v>
      </c>
      <c r="D411" s="40" t="s">
        <v>10</v>
      </c>
      <c r="E411" s="40" t="s">
        <v>44</v>
      </c>
      <c r="F411" s="40" t="s">
        <v>12</v>
      </c>
      <c r="G411" s="40"/>
      <c r="H411" s="42">
        <v>10</v>
      </c>
      <c r="I411" s="40" t="s">
        <v>13</v>
      </c>
    </row>
    <row r="412" spans="1:9" x14ac:dyDescent="0.25">
      <c r="A412" s="40" t="s">
        <v>247</v>
      </c>
      <c r="B412" s="40">
        <v>4</v>
      </c>
      <c r="C412" s="41">
        <v>46116</v>
      </c>
      <c r="D412" s="40" t="s">
        <v>10</v>
      </c>
      <c r="E412" s="40" t="s">
        <v>110</v>
      </c>
      <c r="F412" s="40" t="s">
        <v>12</v>
      </c>
      <c r="G412" s="40"/>
      <c r="H412" s="42">
        <v>10</v>
      </c>
      <c r="I412" s="40" t="s">
        <v>13</v>
      </c>
    </row>
    <row r="413" spans="1:9" x14ac:dyDescent="0.25">
      <c r="A413" s="40" t="s">
        <v>247</v>
      </c>
      <c r="B413" s="40">
        <v>4</v>
      </c>
      <c r="C413" s="41">
        <v>46116</v>
      </c>
      <c r="D413" s="40" t="s">
        <v>10</v>
      </c>
      <c r="E413" s="40" t="s">
        <v>264</v>
      </c>
      <c r="F413" s="40" t="s">
        <v>12</v>
      </c>
      <c r="G413" s="40"/>
      <c r="H413" s="42">
        <v>30</v>
      </c>
      <c r="I413" s="40" t="s">
        <v>21</v>
      </c>
    </row>
    <row r="414" spans="1:9" x14ac:dyDescent="0.25">
      <c r="A414" s="40" t="s">
        <v>247</v>
      </c>
      <c r="B414" s="40">
        <v>4</v>
      </c>
      <c r="C414" s="41">
        <v>46116</v>
      </c>
      <c r="D414" s="40" t="s">
        <v>10</v>
      </c>
      <c r="E414" s="40" t="s">
        <v>265</v>
      </c>
      <c r="F414" s="40" t="s">
        <v>12</v>
      </c>
      <c r="G414" s="40"/>
      <c r="H414" s="42">
        <v>10</v>
      </c>
      <c r="I414" s="40" t="s">
        <v>13</v>
      </c>
    </row>
    <row r="415" spans="1:9" x14ac:dyDescent="0.25">
      <c r="A415" s="40" t="s">
        <v>247</v>
      </c>
      <c r="B415" s="40">
        <v>4</v>
      </c>
      <c r="C415" s="41">
        <v>46116</v>
      </c>
      <c r="D415" s="40" t="s">
        <v>10</v>
      </c>
      <c r="E415" s="40" t="s">
        <v>266</v>
      </c>
      <c r="F415" s="40" t="s">
        <v>18</v>
      </c>
      <c r="G415" s="40" t="s">
        <v>72</v>
      </c>
      <c r="H415" s="42">
        <v>50</v>
      </c>
      <c r="I415" s="40" t="s">
        <v>13</v>
      </c>
    </row>
    <row r="416" spans="1:9" x14ac:dyDescent="0.25">
      <c r="A416" s="40" t="s">
        <v>247</v>
      </c>
      <c r="B416" s="40">
        <v>4</v>
      </c>
      <c r="C416" s="41">
        <v>46116</v>
      </c>
      <c r="D416" s="40" t="s">
        <v>10</v>
      </c>
      <c r="E416" s="40" t="s">
        <v>267</v>
      </c>
      <c r="F416" s="40" t="s">
        <v>12</v>
      </c>
      <c r="G416" s="40"/>
      <c r="H416" s="42">
        <v>100</v>
      </c>
      <c r="I416" s="40" t="s">
        <v>13</v>
      </c>
    </row>
    <row r="417" spans="1:9" x14ac:dyDescent="0.25">
      <c r="A417" s="40" t="s">
        <v>247</v>
      </c>
      <c r="B417" s="40">
        <v>4</v>
      </c>
      <c r="C417" s="41">
        <v>46116</v>
      </c>
      <c r="D417" s="40" t="s">
        <v>10</v>
      </c>
      <c r="E417" s="40" t="s">
        <v>268</v>
      </c>
      <c r="F417" s="40" t="s">
        <v>12</v>
      </c>
      <c r="G417" s="40"/>
      <c r="H417" s="42">
        <v>20</v>
      </c>
      <c r="I417" s="40" t="s">
        <v>13</v>
      </c>
    </row>
    <row r="418" spans="1:9" x14ac:dyDescent="0.25">
      <c r="A418" s="40" t="s">
        <v>247</v>
      </c>
      <c r="B418" s="40">
        <v>4</v>
      </c>
      <c r="C418" s="41">
        <v>46116</v>
      </c>
      <c r="D418" s="40" t="s">
        <v>10</v>
      </c>
      <c r="E418" s="40" t="s">
        <v>24</v>
      </c>
      <c r="F418" s="40" t="s">
        <v>18</v>
      </c>
      <c r="G418" s="40" t="s">
        <v>24</v>
      </c>
      <c r="H418" s="42">
        <v>35</v>
      </c>
      <c r="I418" s="40" t="s">
        <v>13</v>
      </c>
    </row>
    <row r="419" spans="1:9" x14ac:dyDescent="0.25">
      <c r="A419" s="40" t="s">
        <v>247</v>
      </c>
      <c r="B419" s="40">
        <v>4</v>
      </c>
      <c r="C419" s="41">
        <v>46116</v>
      </c>
      <c r="D419" s="40" t="s">
        <v>10</v>
      </c>
      <c r="E419" s="40" t="s">
        <v>269</v>
      </c>
      <c r="F419" s="40" t="s">
        <v>18</v>
      </c>
      <c r="G419" s="40" t="s">
        <v>72</v>
      </c>
      <c r="H419" s="42">
        <v>60</v>
      </c>
      <c r="I419" s="40" t="s">
        <v>13</v>
      </c>
    </row>
    <row r="420" spans="1:9" x14ac:dyDescent="0.25">
      <c r="A420" s="40" t="s">
        <v>247</v>
      </c>
      <c r="B420" s="40">
        <v>4</v>
      </c>
      <c r="C420" s="41">
        <v>46116</v>
      </c>
      <c r="D420" s="40" t="s">
        <v>10</v>
      </c>
      <c r="E420" s="40" t="s">
        <v>270</v>
      </c>
      <c r="F420" s="40" t="s">
        <v>12</v>
      </c>
      <c r="G420" s="40"/>
      <c r="H420" s="42">
        <v>15</v>
      </c>
      <c r="I420" s="40" t="s">
        <v>13</v>
      </c>
    </row>
    <row r="421" spans="1:9" x14ac:dyDescent="0.25">
      <c r="A421" s="40" t="s">
        <v>247</v>
      </c>
      <c r="B421" s="40">
        <v>4</v>
      </c>
      <c r="C421" s="41">
        <v>46116</v>
      </c>
      <c r="D421" s="40" t="s">
        <v>10</v>
      </c>
      <c r="E421" s="40" t="s">
        <v>219</v>
      </c>
      <c r="F421" s="40" t="s">
        <v>18</v>
      </c>
      <c r="G421" s="40" t="s">
        <v>24</v>
      </c>
      <c r="H421" s="42">
        <v>90</v>
      </c>
      <c r="I421" s="40" t="s">
        <v>13</v>
      </c>
    </row>
    <row r="422" spans="1:9" x14ac:dyDescent="0.25">
      <c r="A422" s="40" t="s">
        <v>247</v>
      </c>
      <c r="B422" s="40">
        <v>4</v>
      </c>
      <c r="C422" s="41">
        <v>46116</v>
      </c>
      <c r="D422" s="40" t="s">
        <v>10</v>
      </c>
      <c r="E422" s="40" t="s">
        <v>175</v>
      </c>
      <c r="F422" s="40" t="s">
        <v>12</v>
      </c>
      <c r="G422" s="40"/>
      <c r="H422" s="42">
        <v>6</v>
      </c>
      <c r="I422" s="40" t="s">
        <v>21</v>
      </c>
    </row>
    <row r="423" spans="1:9" x14ac:dyDescent="0.25">
      <c r="A423" s="40" t="s">
        <v>247</v>
      </c>
      <c r="B423" s="40">
        <v>4</v>
      </c>
      <c r="C423" s="41">
        <v>46116</v>
      </c>
      <c r="D423" s="40" t="s">
        <v>10</v>
      </c>
      <c r="E423" s="40" t="s">
        <v>219</v>
      </c>
      <c r="F423" s="40" t="s">
        <v>18</v>
      </c>
      <c r="G423" s="40" t="s">
        <v>24</v>
      </c>
      <c r="H423" s="42">
        <v>35</v>
      </c>
      <c r="I423" s="40" t="s">
        <v>21</v>
      </c>
    </row>
    <row r="424" spans="1:9" x14ac:dyDescent="0.25">
      <c r="A424" s="40" t="s">
        <v>247</v>
      </c>
      <c r="B424" s="40">
        <v>4</v>
      </c>
      <c r="C424" s="41">
        <v>46116</v>
      </c>
      <c r="D424" s="40" t="s">
        <v>10</v>
      </c>
      <c r="E424" s="40" t="s">
        <v>120</v>
      </c>
      <c r="F424" s="40" t="s">
        <v>12</v>
      </c>
      <c r="G424" s="40"/>
      <c r="H424" s="42">
        <v>20</v>
      </c>
      <c r="I424" s="40" t="s">
        <v>13</v>
      </c>
    </row>
    <row r="425" spans="1:9" x14ac:dyDescent="0.25">
      <c r="A425" s="40" t="s">
        <v>247</v>
      </c>
      <c r="B425" s="40">
        <v>4</v>
      </c>
      <c r="C425" s="41">
        <v>46116</v>
      </c>
      <c r="D425" s="40" t="s">
        <v>10</v>
      </c>
      <c r="E425" s="40" t="s">
        <v>270</v>
      </c>
      <c r="F425" s="40" t="s">
        <v>12</v>
      </c>
      <c r="G425" s="40"/>
      <c r="H425" s="42">
        <v>15</v>
      </c>
      <c r="I425" s="40" t="s">
        <v>13</v>
      </c>
    </row>
    <row r="426" spans="1:9" x14ac:dyDescent="0.25">
      <c r="A426" s="40" t="s">
        <v>247</v>
      </c>
      <c r="B426" s="40">
        <v>4</v>
      </c>
      <c r="C426" s="41">
        <v>46116</v>
      </c>
      <c r="D426" s="40" t="s">
        <v>10</v>
      </c>
      <c r="E426" s="40" t="s">
        <v>271</v>
      </c>
      <c r="F426" s="40" t="s">
        <v>12</v>
      </c>
      <c r="G426" s="40"/>
      <c r="H426" s="42">
        <v>9</v>
      </c>
      <c r="I426" s="40" t="s">
        <v>13</v>
      </c>
    </row>
    <row r="427" spans="1:9" x14ac:dyDescent="0.25">
      <c r="A427" s="40" t="s">
        <v>247</v>
      </c>
      <c r="B427" s="40">
        <v>4</v>
      </c>
      <c r="C427" s="41">
        <v>46116</v>
      </c>
      <c r="D427" s="40" t="s">
        <v>10</v>
      </c>
      <c r="E427" s="40" t="s">
        <v>272</v>
      </c>
      <c r="F427" s="40" t="s">
        <v>18</v>
      </c>
      <c r="G427" s="40" t="s">
        <v>88</v>
      </c>
      <c r="H427" s="42">
        <v>92</v>
      </c>
      <c r="I427" s="40" t="s">
        <v>13</v>
      </c>
    </row>
    <row r="428" spans="1:9" x14ac:dyDescent="0.25">
      <c r="A428" s="40" t="s">
        <v>247</v>
      </c>
      <c r="B428" s="40">
        <v>4</v>
      </c>
      <c r="C428" s="41">
        <v>46116</v>
      </c>
      <c r="D428" s="40" t="s">
        <v>10</v>
      </c>
      <c r="E428" s="40" t="s">
        <v>273</v>
      </c>
      <c r="F428" s="40" t="s">
        <v>12</v>
      </c>
      <c r="G428" s="40"/>
      <c r="H428" s="42">
        <v>25</v>
      </c>
      <c r="I428" s="40" t="s">
        <v>13</v>
      </c>
    </row>
    <row r="429" spans="1:9" x14ac:dyDescent="0.25">
      <c r="A429" s="40" t="s">
        <v>247</v>
      </c>
      <c r="B429" s="40">
        <v>4</v>
      </c>
      <c r="C429" s="41">
        <v>46117</v>
      </c>
      <c r="D429" s="40" t="s">
        <v>10</v>
      </c>
      <c r="E429" s="40" t="s">
        <v>24</v>
      </c>
      <c r="F429" s="40" t="s">
        <v>18</v>
      </c>
      <c r="G429" s="40" t="s">
        <v>24</v>
      </c>
      <c r="H429" s="42">
        <v>35</v>
      </c>
      <c r="I429" s="40" t="s">
        <v>13</v>
      </c>
    </row>
    <row r="430" spans="1:9" x14ac:dyDescent="0.25">
      <c r="A430" s="40" t="s">
        <v>247</v>
      </c>
      <c r="B430" s="40">
        <v>4</v>
      </c>
      <c r="C430" s="41">
        <v>46117</v>
      </c>
      <c r="D430" s="40" t="s">
        <v>10</v>
      </c>
      <c r="E430" s="40" t="s">
        <v>265</v>
      </c>
      <c r="F430" s="40" t="s">
        <v>12</v>
      </c>
      <c r="G430" s="40"/>
      <c r="H430" s="42">
        <v>50</v>
      </c>
      <c r="I430" s="40" t="s">
        <v>13</v>
      </c>
    </row>
    <row r="431" spans="1:9" x14ac:dyDescent="0.25">
      <c r="A431" s="40" t="s">
        <v>247</v>
      </c>
      <c r="B431" s="40">
        <v>4</v>
      </c>
      <c r="C431" s="41">
        <v>46117</v>
      </c>
      <c r="D431" s="40" t="s">
        <v>10</v>
      </c>
      <c r="E431" s="40" t="s">
        <v>24</v>
      </c>
      <c r="F431" s="40" t="s">
        <v>18</v>
      </c>
      <c r="G431" s="40" t="s">
        <v>24</v>
      </c>
      <c r="H431" s="42">
        <v>35</v>
      </c>
      <c r="I431" s="40" t="s">
        <v>13</v>
      </c>
    </row>
    <row r="432" spans="1:9" x14ac:dyDescent="0.25">
      <c r="A432" s="40" t="s">
        <v>247</v>
      </c>
      <c r="B432" s="40">
        <v>4</v>
      </c>
      <c r="C432" s="41">
        <v>46117</v>
      </c>
      <c r="D432" s="40" t="s">
        <v>10</v>
      </c>
      <c r="E432" s="40" t="s">
        <v>274</v>
      </c>
      <c r="F432" s="40" t="s">
        <v>18</v>
      </c>
      <c r="G432" s="40" t="s">
        <v>98</v>
      </c>
      <c r="H432" s="42">
        <v>35</v>
      </c>
      <c r="I432" s="40" t="s">
        <v>13</v>
      </c>
    </row>
    <row r="433" spans="1:9" x14ac:dyDescent="0.25">
      <c r="A433" s="40" t="s">
        <v>247</v>
      </c>
      <c r="B433" s="40">
        <v>4</v>
      </c>
      <c r="C433" s="41">
        <v>46117</v>
      </c>
      <c r="D433" s="40" t="s">
        <v>10</v>
      </c>
      <c r="E433" s="40" t="s">
        <v>265</v>
      </c>
      <c r="F433" s="40" t="s">
        <v>12</v>
      </c>
      <c r="G433" s="40"/>
      <c r="H433" s="42">
        <v>10</v>
      </c>
      <c r="I433" s="40" t="s">
        <v>13</v>
      </c>
    </row>
    <row r="434" spans="1:9" x14ac:dyDescent="0.25">
      <c r="A434" s="40" t="s">
        <v>247</v>
      </c>
      <c r="B434" s="40">
        <v>4</v>
      </c>
      <c r="C434" s="41">
        <v>46118</v>
      </c>
      <c r="D434" s="40" t="s">
        <v>10</v>
      </c>
      <c r="E434" s="40" t="s">
        <v>49</v>
      </c>
      <c r="F434" s="40" t="s">
        <v>18</v>
      </c>
      <c r="G434" s="40" t="s">
        <v>24</v>
      </c>
      <c r="H434" s="42">
        <v>35</v>
      </c>
      <c r="I434" s="40" t="s">
        <v>13</v>
      </c>
    </row>
    <row r="435" spans="1:9" x14ac:dyDescent="0.25">
      <c r="A435" s="40" t="s">
        <v>247</v>
      </c>
      <c r="B435" s="40">
        <v>4</v>
      </c>
      <c r="C435" s="41">
        <v>46118</v>
      </c>
      <c r="D435" s="40" t="s">
        <v>10</v>
      </c>
      <c r="E435" s="40" t="s">
        <v>65</v>
      </c>
      <c r="F435" s="40" t="s">
        <v>12</v>
      </c>
      <c r="G435" s="40"/>
      <c r="H435" s="42">
        <v>30</v>
      </c>
      <c r="I435" s="40" t="s">
        <v>13</v>
      </c>
    </row>
    <row r="436" spans="1:9" x14ac:dyDescent="0.25">
      <c r="A436" s="40" t="s">
        <v>247</v>
      </c>
      <c r="B436" s="40">
        <v>4</v>
      </c>
      <c r="C436" s="41">
        <v>46118</v>
      </c>
      <c r="D436" s="40" t="s">
        <v>10</v>
      </c>
      <c r="E436" s="40" t="s">
        <v>275</v>
      </c>
      <c r="F436" s="40" t="s">
        <v>12</v>
      </c>
      <c r="G436" s="40"/>
      <c r="H436" s="42">
        <v>16</v>
      </c>
      <c r="I436" s="40" t="s">
        <v>13</v>
      </c>
    </row>
    <row r="437" spans="1:9" x14ac:dyDescent="0.25">
      <c r="A437" s="40" t="s">
        <v>247</v>
      </c>
      <c r="B437" s="40">
        <v>4</v>
      </c>
      <c r="C437" s="41">
        <v>46119</v>
      </c>
      <c r="D437" s="40" t="s">
        <v>10</v>
      </c>
      <c r="E437" s="40" t="s">
        <v>276</v>
      </c>
      <c r="F437" s="40" t="s">
        <v>12</v>
      </c>
      <c r="G437" s="40"/>
      <c r="H437" s="42">
        <v>70</v>
      </c>
      <c r="I437" s="40" t="s">
        <v>13</v>
      </c>
    </row>
    <row r="438" spans="1:9" x14ac:dyDescent="0.25">
      <c r="A438" s="40" t="s">
        <v>247</v>
      </c>
      <c r="B438" s="40">
        <v>4</v>
      </c>
      <c r="C438" s="41">
        <v>46119</v>
      </c>
      <c r="D438" s="40" t="s">
        <v>10</v>
      </c>
      <c r="E438" s="40" t="s">
        <v>24</v>
      </c>
      <c r="F438" s="40" t="s">
        <v>18</v>
      </c>
      <c r="G438" s="40" t="s">
        <v>24</v>
      </c>
      <c r="H438" s="42">
        <v>30</v>
      </c>
      <c r="I438" s="40" t="s">
        <v>13</v>
      </c>
    </row>
    <row r="439" spans="1:9" x14ac:dyDescent="0.25">
      <c r="A439" s="40" t="s">
        <v>247</v>
      </c>
      <c r="B439" s="40">
        <v>4</v>
      </c>
      <c r="C439" s="41">
        <v>46119</v>
      </c>
      <c r="D439" s="40" t="s">
        <v>10</v>
      </c>
      <c r="E439" s="40" t="s">
        <v>150</v>
      </c>
      <c r="F439" s="40" t="s">
        <v>12</v>
      </c>
      <c r="G439" s="40"/>
      <c r="H439" s="42">
        <v>20</v>
      </c>
      <c r="I439" s="40" t="s">
        <v>13</v>
      </c>
    </row>
    <row r="440" spans="1:9" x14ac:dyDescent="0.25">
      <c r="A440" s="40" t="s">
        <v>247</v>
      </c>
      <c r="B440" s="40">
        <v>4</v>
      </c>
      <c r="C440" s="41">
        <v>46119</v>
      </c>
      <c r="D440" s="40" t="s">
        <v>10</v>
      </c>
      <c r="E440" s="40" t="s">
        <v>88</v>
      </c>
      <c r="F440" s="40" t="s">
        <v>18</v>
      </c>
      <c r="G440" s="40" t="s">
        <v>88</v>
      </c>
      <c r="H440" s="42">
        <v>10</v>
      </c>
      <c r="I440" s="40" t="s">
        <v>13</v>
      </c>
    </row>
    <row r="441" spans="1:9" x14ac:dyDescent="0.25">
      <c r="A441" s="40" t="s">
        <v>247</v>
      </c>
      <c r="B441" s="40">
        <v>4</v>
      </c>
      <c r="C441" s="41">
        <v>46119</v>
      </c>
      <c r="D441" s="40" t="s">
        <v>10</v>
      </c>
      <c r="E441" s="40" t="s">
        <v>24</v>
      </c>
      <c r="F441" s="40" t="s">
        <v>18</v>
      </c>
      <c r="G441" s="40" t="s">
        <v>24</v>
      </c>
      <c r="H441" s="42">
        <v>30</v>
      </c>
      <c r="I441" s="40" t="s">
        <v>13</v>
      </c>
    </row>
    <row r="442" spans="1:9" x14ac:dyDescent="0.25">
      <c r="A442" s="40" t="s">
        <v>247</v>
      </c>
      <c r="B442" s="40">
        <v>4</v>
      </c>
      <c r="C442" s="41">
        <v>46119</v>
      </c>
      <c r="D442" s="40" t="s">
        <v>10</v>
      </c>
      <c r="E442" s="40" t="s">
        <v>277</v>
      </c>
      <c r="F442" s="40" t="s">
        <v>12</v>
      </c>
      <c r="G442" s="40"/>
      <c r="H442" s="42">
        <v>5</v>
      </c>
      <c r="I442" s="40" t="s">
        <v>13</v>
      </c>
    </row>
    <row r="443" spans="1:9" x14ac:dyDescent="0.25">
      <c r="A443" s="40" t="s">
        <v>247</v>
      </c>
      <c r="B443" s="40">
        <v>4</v>
      </c>
      <c r="C443" s="41">
        <v>46119</v>
      </c>
      <c r="D443" s="40" t="s">
        <v>10</v>
      </c>
      <c r="E443" s="40" t="s">
        <v>119</v>
      </c>
      <c r="F443" s="40" t="s">
        <v>12</v>
      </c>
      <c r="G443" s="40"/>
      <c r="H443" s="42">
        <v>5</v>
      </c>
      <c r="I443" s="40" t="s">
        <v>13</v>
      </c>
    </row>
    <row r="444" spans="1:9" x14ac:dyDescent="0.25">
      <c r="A444" s="40" t="s">
        <v>247</v>
      </c>
      <c r="B444" s="40">
        <v>4</v>
      </c>
      <c r="C444" s="41">
        <v>46119</v>
      </c>
      <c r="D444" s="40" t="s">
        <v>10</v>
      </c>
      <c r="E444" s="40" t="s">
        <v>278</v>
      </c>
      <c r="F444" s="40" t="s">
        <v>18</v>
      </c>
      <c r="G444" s="40" t="s">
        <v>24</v>
      </c>
      <c r="H444" s="42">
        <v>80</v>
      </c>
      <c r="I444" s="40" t="s">
        <v>13</v>
      </c>
    </row>
    <row r="445" spans="1:9" x14ac:dyDescent="0.25">
      <c r="A445" s="40" t="s">
        <v>247</v>
      </c>
      <c r="B445" s="40">
        <v>4</v>
      </c>
      <c r="C445" s="41">
        <v>46119</v>
      </c>
      <c r="D445" s="40" t="s">
        <v>10</v>
      </c>
      <c r="E445" s="40" t="s">
        <v>279</v>
      </c>
      <c r="F445" s="40" t="s">
        <v>18</v>
      </c>
      <c r="G445" s="40" t="s">
        <v>98</v>
      </c>
      <c r="H445" s="42">
        <v>60</v>
      </c>
      <c r="I445" s="40" t="s">
        <v>13</v>
      </c>
    </row>
    <row r="446" spans="1:9" x14ac:dyDescent="0.25">
      <c r="A446" s="40" t="s">
        <v>247</v>
      </c>
      <c r="B446" s="40">
        <v>4</v>
      </c>
      <c r="C446" s="41">
        <v>46119</v>
      </c>
      <c r="D446" s="40" t="s">
        <v>10</v>
      </c>
      <c r="E446" s="40" t="s">
        <v>280</v>
      </c>
      <c r="F446" s="40" t="s">
        <v>18</v>
      </c>
      <c r="G446" s="40" t="s">
        <v>26</v>
      </c>
      <c r="H446" s="42">
        <v>580</v>
      </c>
      <c r="I446" s="40" t="s">
        <v>13</v>
      </c>
    </row>
    <row r="447" spans="1:9" x14ac:dyDescent="0.25">
      <c r="A447" s="40" t="s">
        <v>247</v>
      </c>
      <c r="B447" s="40">
        <v>4</v>
      </c>
      <c r="C447" s="41">
        <v>46119</v>
      </c>
      <c r="D447" s="40" t="s">
        <v>10</v>
      </c>
      <c r="E447" s="40" t="s">
        <v>44</v>
      </c>
      <c r="F447" s="40" t="s">
        <v>12</v>
      </c>
      <c r="G447" s="40"/>
      <c r="H447" s="42">
        <v>25</v>
      </c>
      <c r="I447" s="40" t="s">
        <v>13</v>
      </c>
    </row>
    <row r="448" spans="1:9" x14ac:dyDescent="0.25">
      <c r="A448" s="40" t="s">
        <v>247</v>
      </c>
      <c r="B448" s="40">
        <v>4</v>
      </c>
      <c r="C448" s="41">
        <v>46119</v>
      </c>
      <c r="D448" s="40" t="s">
        <v>10</v>
      </c>
      <c r="E448" s="40" t="s">
        <v>19</v>
      </c>
      <c r="F448" s="40" t="s">
        <v>18</v>
      </c>
      <c r="G448" s="40" t="s">
        <v>19</v>
      </c>
      <c r="H448" s="42">
        <v>50</v>
      </c>
      <c r="I448" s="40" t="s">
        <v>13</v>
      </c>
    </row>
    <row r="449" spans="1:9" x14ac:dyDescent="0.25">
      <c r="A449" s="40" t="s">
        <v>247</v>
      </c>
      <c r="B449" s="40">
        <v>4</v>
      </c>
      <c r="C449" s="41">
        <v>46120</v>
      </c>
      <c r="D449" s="40" t="s">
        <v>10</v>
      </c>
      <c r="E449" s="40" t="s">
        <v>281</v>
      </c>
      <c r="F449" s="40" t="s">
        <v>12</v>
      </c>
      <c r="G449" s="40"/>
      <c r="H449" s="42">
        <v>5</v>
      </c>
      <c r="I449" s="40" t="s">
        <v>13</v>
      </c>
    </row>
    <row r="450" spans="1:9" x14ac:dyDescent="0.25">
      <c r="A450" s="40" t="s">
        <v>247</v>
      </c>
      <c r="B450" s="40">
        <v>4</v>
      </c>
      <c r="C450" s="41">
        <v>46120</v>
      </c>
      <c r="D450" s="40" t="s">
        <v>10</v>
      </c>
      <c r="E450" s="40" t="s">
        <v>19</v>
      </c>
      <c r="F450" s="40" t="s">
        <v>18</v>
      </c>
      <c r="G450" s="40" t="s">
        <v>19</v>
      </c>
      <c r="H450" s="42">
        <v>40</v>
      </c>
      <c r="I450" s="40" t="s">
        <v>13</v>
      </c>
    </row>
    <row r="451" spans="1:9" x14ac:dyDescent="0.25">
      <c r="A451" s="40" t="s">
        <v>247</v>
      </c>
      <c r="B451" s="40">
        <v>4</v>
      </c>
      <c r="C451" s="41">
        <v>46120</v>
      </c>
      <c r="D451" s="40" t="s">
        <v>10</v>
      </c>
      <c r="E451" s="40" t="s">
        <v>72</v>
      </c>
      <c r="F451" s="40" t="s">
        <v>18</v>
      </c>
      <c r="G451" s="40" t="s">
        <v>72</v>
      </c>
      <c r="H451" s="42">
        <v>40</v>
      </c>
      <c r="I451" s="40" t="s">
        <v>13</v>
      </c>
    </row>
    <row r="452" spans="1:9" x14ac:dyDescent="0.25">
      <c r="A452" s="40" t="s">
        <v>247</v>
      </c>
      <c r="B452" s="40">
        <v>4</v>
      </c>
      <c r="C452" s="41">
        <v>46121</v>
      </c>
      <c r="D452" s="40" t="s">
        <v>10</v>
      </c>
      <c r="E452" s="40" t="s">
        <v>282</v>
      </c>
      <c r="F452" s="40" t="s">
        <v>12</v>
      </c>
      <c r="G452" s="40"/>
      <c r="H452" s="42">
        <v>11.5</v>
      </c>
      <c r="I452" s="40" t="s">
        <v>21</v>
      </c>
    </row>
    <row r="453" spans="1:9" x14ac:dyDescent="0.25">
      <c r="A453" s="40" t="s">
        <v>247</v>
      </c>
      <c r="B453" s="40">
        <v>4</v>
      </c>
      <c r="C453" s="41">
        <v>46121</v>
      </c>
      <c r="D453" s="40" t="s">
        <v>10</v>
      </c>
      <c r="E453" s="40" t="s">
        <v>77</v>
      </c>
      <c r="F453" s="40" t="s">
        <v>12</v>
      </c>
      <c r="G453" s="40"/>
      <c r="H453" s="42">
        <v>25</v>
      </c>
      <c r="I453" s="40" t="s">
        <v>21</v>
      </c>
    </row>
    <row r="454" spans="1:9" x14ac:dyDescent="0.25">
      <c r="A454" s="40" t="s">
        <v>247</v>
      </c>
      <c r="B454" s="40">
        <v>4</v>
      </c>
      <c r="C454" s="41">
        <v>46121</v>
      </c>
      <c r="D454" s="40" t="s">
        <v>10</v>
      </c>
      <c r="E454" s="40" t="s">
        <v>31</v>
      </c>
      <c r="F454" s="40" t="s">
        <v>12</v>
      </c>
      <c r="G454" s="40"/>
      <c r="H454" s="42">
        <v>14</v>
      </c>
      <c r="I454" s="40" t="s">
        <v>13</v>
      </c>
    </row>
    <row r="455" spans="1:9" x14ac:dyDescent="0.25">
      <c r="A455" s="40" t="s">
        <v>247</v>
      </c>
      <c r="B455" s="40">
        <v>4</v>
      </c>
      <c r="C455" s="41">
        <v>46121</v>
      </c>
      <c r="D455" s="40" t="s">
        <v>14</v>
      </c>
      <c r="E455" s="40" t="s">
        <v>283</v>
      </c>
      <c r="F455" s="40"/>
      <c r="G455" s="40"/>
      <c r="H455" s="42">
        <v>2.5</v>
      </c>
      <c r="I455" s="40" t="s">
        <v>13</v>
      </c>
    </row>
    <row r="456" spans="1:9" x14ac:dyDescent="0.25">
      <c r="A456" s="40" t="s">
        <v>247</v>
      </c>
      <c r="B456" s="40">
        <v>4</v>
      </c>
      <c r="C456" s="41">
        <v>46121</v>
      </c>
      <c r="D456" s="40" t="s">
        <v>14</v>
      </c>
      <c r="E456" s="40" t="s">
        <v>120</v>
      </c>
      <c r="F456" s="40"/>
      <c r="G456" s="40"/>
      <c r="H456" s="42">
        <v>7</v>
      </c>
      <c r="I456" s="40" t="s">
        <v>13</v>
      </c>
    </row>
    <row r="457" spans="1:9" x14ac:dyDescent="0.25">
      <c r="A457" s="40" t="s">
        <v>247</v>
      </c>
      <c r="B457" s="40">
        <v>4</v>
      </c>
      <c r="C457" s="41">
        <v>46121</v>
      </c>
      <c r="D457" s="40" t="s">
        <v>14</v>
      </c>
      <c r="E457" s="40" t="s">
        <v>120</v>
      </c>
      <c r="F457" s="40"/>
      <c r="G457" s="40"/>
      <c r="H457" s="42">
        <v>7</v>
      </c>
      <c r="I457" s="40" t="s">
        <v>13</v>
      </c>
    </row>
    <row r="458" spans="1:9" x14ac:dyDescent="0.25">
      <c r="A458" s="40" t="s">
        <v>247</v>
      </c>
      <c r="B458" s="40">
        <v>4</v>
      </c>
      <c r="C458" s="41">
        <v>46122</v>
      </c>
      <c r="D458" s="40" t="s">
        <v>10</v>
      </c>
      <c r="E458" s="40" t="s">
        <v>284</v>
      </c>
      <c r="F458" s="40" t="s">
        <v>12</v>
      </c>
      <c r="G458" s="40"/>
      <c r="H458" s="42">
        <v>6</v>
      </c>
      <c r="I458" s="40" t="s">
        <v>13</v>
      </c>
    </row>
    <row r="459" spans="1:9" x14ac:dyDescent="0.25">
      <c r="A459" s="40" t="s">
        <v>247</v>
      </c>
      <c r="B459" s="40">
        <v>4</v>
      </c>
      <c r="C459" s="41">
        <v>46122</v>
      </c>
      <c r="D459" s="40" t="s">
        <v>10</v>
      </c>
      <c r="E459" s="40" t="s">
        <v>285</v>
      </c>
      <c r="F459" s="40" t="s">
        <v>18</v>
      </c>
      <c r="G459" s="40" t="s">
        <v>24</v>
      </c>
      <c r="H459" s="42">
        <v>45</v>
      </c>
      <c r="I459" s="40" t="s">
        <v>13</v>
      </c>
    </row>
    <row r="460" spans="1:9" x14ac:dyDescent="0.25">
      <c r="A460" s="40" t="s">
        <v>247</v>
      </c>
      <c r="B460" s="40">
        <v>4</v>
      </c>
      <c r="C460" s="41">
        <v>46122</v>
      </c>
      <c r="D460" s="40" t="s">
        <v>10</v>
      </c>
      <c r="E460" s="40" t="s">
        <v>286</v>
      </c>
      <c r="F460" s="40" t="s">
        <v>18</v>
      </c>
      <c r="G460" s="40" t="s">
        <v>26</v>
      </c>
      <c r="H460" s="42">
        <v>90</v>
      </c>
      <c r="I460" s="40" t="s">
        <v>13</v>
      </c>
    </row>
    <row r="461" spans="1:9" x14ac:dyDescent="0.25">
      <c r="A461" s="40" t="s">
        <v>247</v>
      </c>
      <c r="B461" s="40">
        <v>4</v>
      </c>
      <c r="C461" s="41">
        <v>46123</v>
      </c>
      <c r="D461" s="40" t="s">
        <v>10</v>
      </c>
      <c r="E461" s="40" t="s">
        <v>26</v>
      </c>
      <c r="F461" s="40" t="s">
        <v>18</v>
      </c>
      <c r="G461" s="40" t="s">
        <v>26</v>
      </c>
      <c r="H461" s="42">
        <v>35</v>
      </c>
      <c r="I461" s="40" t="s">
        <v>13</v>
      </c>
    </row>
    <row r="462" spans="1:9" x14ac:dyDescent="0.25">
      <c r="A462" s="40" t="s">
        <v>247</v>
      </c>
      <c r="B462" s="40">
        <v>4</v>
      </c>
      <c r="C462" s="41">
        <v>46123</v>
      </c>
      <c r="D462" s="40" t="s">
        <v>10</v>
      </c>
      <c r="E462" s="40" t="s">
        <v>287</v>
      </c>
      <c r="F462" s="40" t="s">
        <v>12</v>
      </c>
      <c r="G462" s="40"/>
      <c r="H462" s="42">
        <v>8</v>
      </c>
      <c r="I462" s="40" t="s">
        <v>13</v>
      </c>
    </row>
    <row r="463" spans="1:9" x14ac:dyDescent="0.25">
      <c r="A463" s="40" t="s">
        <v>247</v>
      </c>
      <c r="B463" s="40">
        <v>4</v>
      </c>
      <c r="C463" s="41">
        <v>46123</v>
      </c>
      <c r="D463" s="40" t="s">
        <v>10</v>
      </c>
      <c r="E463" s="40" t="s">
        <v>288</v>
      </c>
      <c r="F463" s="40" t="s">
        <v>12</v>
      </c>
      <c r="G463" s="40"/>
      <c r="H463" s="42">
        <v>9</v>
      </c>
      <c r="I463" s="40" t="s">
        <v>13</v>
      </c>
    </row>
    <row r="464" spans="1:9" x14ac:dyDescent="0.25">
      <c r="A464" s="40" t="s">
        <v>247</v>
      </c>
      <c r="B464" s="40">
        <v>4</v>
      </c>
      <c r="C464" s="41">
        <v>46123</v>
      </c>
      <c r="D464" s="40" t="s">
        <v>10</v>
      </c>
      <c r="E464" s="40" t="s">
        <v>289</v>
      </c>
      <c r="F464" s="40" t="s">
        <v>12</v>
      </c>
      <c r="G464" s="40"/>
      <c r="H464" s="42">
        <v>18</v>
      </c>
      <c r="I464" s="40" t="s">
        <v>13</v>
      </c>
    </row>
    <row r="465" spans="1:9" x14ac:dyDescent="0.25">
      <c r="A465" s="40" t="s">
        <v>247</v>
      </c>
      <c r="B465" s="40">
        <v>4</v>
      </c>
      <c r="C465" s="41">
        <v>46123</v>
      </c>
      <c r="D465" s="40" t="s">
        <v>10</v>
      </c>
      <c r="E465" s="40" t="s">
        <v>49</v>
      </c>
      <c r="F465" s="40" t="s">
        <v>18</v>
      </c>
      <c r="G465" s="40" t="s">
        <v>24</v>
      </c>
      <c r="H465" s="42">
        <v>35</v>
      </c>
      <c r="I465" s="40" t="s">
        <v>21</v>
      </c>
    </row>
    <row r="466" spans="1:9" x14ac:dyDescent="0.25">
      <c r="A466" s="40" t="s">
        <v>247</v>
      </c>
      <c r="B466" s="40">
        <v>4</v>
      </c>
      <c r="C466" s="41">
        <v>46123</v>
      </c>
      <c r="D466" s="40" t="s">
        <v>10</v>
      </c>
      <c r="E466" s="40" t="s">
        <v>130</v>
      </c>
      <c r="F466" s="40" t="s">
        <v>18</v>
      </c>
      <c r="G466" s="40" t="s">
        <v>24</v>
      </c>
      <c r="H466" s="42">
        <v>40</v>
      </c>
      <c r="I466" s="40" t="s">
        <v>13</v>
      </c>
    </row>
    <row r="467" spans="1:9" x14ac:dyDescent="0.25">
      <c r="A467" s="40" t="s">
        <v>247</v>
      </c>
      <c r="B467" s="40">
        <v>4</v>
      </c>
      <c r="C467" s="41">
        <v>46123</v>
      </c>
      <c r="D467" s="40" t="s">
        <v>10</v>
      </c>
      <c r="E467" s="40" t="s">
        <v>65</v>
      </c>
      <c r="F467" s="40" t="s">
        <v>12</v>
      </c>
      <c r="G467" s="40"/>
      <c r="H467" s="42">
        <v>35</v>
      </c>
      <c r="I467" s="40" t="s">
        <v>13</v>
      </c>
    </row>
    <row r="468" spans="1:9" x14ac:dyDescent="0.25">
      <c r="A468" s="40" t="s">
        <v>247</v>
      </c>
      <c r="B468" s="40">
        <v>4</v>
      </c>
      <c r="C468" s="41">
        <v>46123</v>
      </c>
      <c r="D468" s="40" t="s">
        <v>10</v>
      </c>
      <c r="E468" s="40" t="s">
        <v>88</v>
      </c>
      <c r="F468" s="40" t="s">
        <v>18</v>
      </c>
      <c r="G468" s="40" t="s">
        <v>88</v>
      </c>
      <c r="H468" s="42">
        <v>10</v>
      </c>
      <c r="I468" s="40" t="s">
        <v>13</v>
      </c>
    </row>
    <row r="469" spans="1:9" x14ac:dyDescent="0.25">
      <c r="A469" s="40" t="s">
        <v>247</v>
      </c>
      <c r="B469" s="40">
        <v>4</v>
      </c>
      <c r="C469" s="41">
        <v>46123</v>
      </c>
      <c r="D469" s="40" t="s">
        <v>10</v>
      </c>
      <c r="E469" s="40" t="s">
        <v>290</v>
      </c>
      <c r="F469" s="40" t="s">
        <v>18</v>
      </c>
      <c r="G469" s="40" t="s">
        <v>30</v>
      </c>
      <c r="H469" s="42">
        <v>80</v>
      </c>
      <c r="I469" s="40" t="s">
        <v>13</v>
      </c>
    </row>
    <row r="470" spans="1:9" x14ac:dyDescent="0.25">
      <c r="A470" s="40" t="s">
        <v>247</v>
      </c>
      <c r="B470" s="40">
        <v>4</v>
      </c>
      <c r="C470" s="41">
        <v>46123</v>
      </c>
      <c r="D470" s="40" t="s">
        <v>10</v>
      </c>
      <c r="E470" s="40" t="s">
        <v>24</v>
      </c>
      <c r="F470" s="40" t="s">
        <v>18</v>
      </c>
      <c r="G470" s="40" t="s">
        <v>24</v>
      </c>
      <c r="H470" s="42">
        <v>35</v>
      </c>
      <c r="I470" s="40" t="s">
        <v>13</v>
      </c>
    </row>
    <row r="471" spans="1:9" x14ac:dyDescent="0.25">
      <c r="A471" s="40" t="s">
        <v>247</v>
      </c>
      <c r="B471" s="40">
        <v>4</v>
      </c>
      <c r="C471" s="41">
        <v>46125</v>
      </c>
      <c r="D471" s="40" t="s">
        <v>10</v>
      </c>
      <c r="E471" s="40" t="s">
        <v>49</v>
      </c>
      <c r="F471" s="40" t="s">
        <v>18</v>
      </c>
      <c r="G471" s="40" t="s">
        <v>24</v>
      </c>
      <c r="H471" s="42">
        <v>35</v>
      </c>
      <c r="I471" s="40" t="s">
        <v>21</v>
      </c>
    </row>
    <row r="472" spans="1:9" x14ac:dyDescent="0.25">
      <c r="A472" s="40" t="s">
        <v>247</v>
      </c>
      <c r="B472" s="40">
        <v>4</v>
      </c>
      <c r="C472" s="41">
        <v>46125</v>
      </c>
      <c r="D472" s="40" t="s">
        <v>10</v>
      </c>
      <c r="E472" s="40" t="s">
        <v>88</v>
      </c>
      <c r="F472" s="40" t="s">
        <v>18</v>
      </c>
      <c r="G472" s="40" t="s">
        <v>88</v>
      </c>
      <c r="H472" s="42">
        <v>5</v>
      </c>
      <c r="I472" s="40" t="s">
        <v>13</v>
      </c>
    </row>
    <row r="473" spans="1:9" x14ac:dyDescent="0.25">
      <c r="A473" s="40" t="s">
        <v>247</v>
      </c>
      <c r="B473" s="40">
        <v>4</v>
      </c>
      <c r="C473" s="41">
        <v>46125</v>
      </c>
      <c r="D473" s="40" t="s">
        <v>10</v>
      </c>
      <c r="E473" s="40" t="s">
        <v>291</v>
      </c>
      <c r="F473" s="40" t="s">
        <v>12</v>
      </c>
      <c r="G473" s="40"/>
      <c r="H473" s="42">
        <v>10</v>
      </c>
      <c r="I473" s="40" t="s">
        <v>13</v>
      </c>
    </row>
    <row r="474" spans="1:9" x14ac:dyDescent="0.25">
      <c r="A474" s="40" t="s">
        <v>247</v>
      </c>
      <c r="B474" s="40">
        <v>4</v>
      </c>
      <c r="C474" s="41">
        <v>46125</v>
      </c>
      <c r="D474" s="40" t="s">
        <v>10</v>
      </c>
      <c r="E474" s="40" t="s">
        <v>235</v>
      </c>
      <c r="F474" s="40" t="s">
        <v>12</v>
      </c>
      <c r="G474" s="40"/>
      <c r="H474" s="42">
        <v>11</v>
      </c>
      <c r="I474" s="40" t="s">
        <v>13</v>
      </c>
    </row>
    <row r="475" spans="1:9" x14ac:dyDescent="0.25">
      <c r="A475" s="40" t="s">
        <v>247</v>
      </c>
      <c r="B475" s="40">
        <v>4</v>
      </c>
      <c r="C475" s="41">
        <v>46125</v>
      </c>
      <c r="D475" s="40" t="s">
        <v>10</v>
      </c>
      <c r="E475" s="40" t="s">
        <v>292</v>
      </c>
      <c r="F475" s="40" t="s">
        <v>18</v>
      </c>
      <c r="G475" s="40" t="s">
        <v>72</v>
      </c>
      <c r="H475" s="42">
        <v>98</v>
      </c>
      <c r="I475" s="40" t="s">
        <v>21</v>
      </c>
    </row>
    <row r="476" spans="1:9" x14ac:dyDescent="0.25">
      <c r="A476" s="40" t="s">
        <v>247</v>
      </c>
      <c r="B476" s="40">
        <v>4</v>
      </c>
      <c r="C476" s="41">
        <v>46125</v>
      </c>
      <c r="D476" s="40" t="s">
        <v>10</v>
      </c>
      <c r="E476" s="40" t="s">
        <v>85</v>
      </c>
      <c r="F476" s="40" t="s">
        <v>12</v>
      </c>
      <c r="G476" s="40"/>
      <c r="H476" s="42">
        <v>35</v>
      </c>
      <c r="I476" s="40" t="s">
        <v>13</v>
      </c>
    </row>
    <row r="477" spans="1:9" x14ac:dyDescent="0.25">
      <c r="A477" s="40" t="s">
        <v>247</v>
      </c>
      <c r="B477" s="40">
        <v>4</v>
      </c>
      <c r="C477" s="41">
        <v>46125</v>
      </c>
      <c r="D477" s="40" t="s">
        <v>10</v>
      </c>
      <c r="E477" s="40" t="s">
        <v>293</v>
      </c>
      <c r="F477" s="40" t="s">
        <v>12</v>
      </c>
      <c r="G477" s="40"/>
      <c r="H477" s="42">
        <v>10</v>
      </c>
      <c r="I477" s="40" t="s">
        <v>13</v>
      </c>
    </row>
    <row r="478" spans="1:9" x14ac:dyDescent="0.25">
      <c r="A478" s="40" t="s">
        <v>247</v>
      </c>
      <c r="B478" s="40">
        <v>4</v>
      </c>
      <c r="C478" s="41">
        <v>46125</v>
      </c>
      <c r="D478" s="40" t="s">
        <v>10</v>
      </c>
      <c r="E478" s="40" t="s">
        <v>294</v>
      </c>
      <c r="F478" s="40" t="s">
        <v>12</v>
      </c>
      <c r="G478" s="40"/>
      <c r="H478" s="42">
        <v>6</v>
      </c>
      <c r="I478" s="40" t="s">
        <v>13</v>
      </c>
    </row>
    <row r="479" spans="1:9" x14ac:dyDescent="0.25">
      <c r="A479" s="40" t="s">
        <v>247</v>
      </c>
      <c r="B479" s="40">
        <v>4</v>
      </c>
      <c r="C479" s="41">
        <v>46126</v>
      </c>
      <c r="D479" s="40" t="s">
        <v>10</v>
      </c>
      <c r="E479" s="40" t="s">
        <v>152</v>
      </c>
      <c r="F479" s="40" t="s">
        <v>12</v>
      </c>
      <c r="G479" s="40"/>
      <c r="H479" s="42">
        <v>40</v>
      </c>
      <c r="I479" s="40" t="s">
        <v>13</v>
      </c>
    </row>
    <row r="480" spans="1:9" x14ac:dyDescent="0.25">
      <c r="A480" s="40" t="s">
        <v>247</v>
      </c>
      <c r="B480" s="40">
        <v>4</v>
      </c>
      <c r="C480" s="41">
        <v>46126</v>
      </c>
      <c r="D480" s="40" t="s">
        <v>10</v>
      </c>
      <c r="E480" s="40" t="s">
        <v>295</v>
      </c>
      <c r="F480" s="40" t="s">
        <v>18</v>
      </c>
      <c r="G480" s="40" t="s">
        <v>26</v>
      </c>
      <c r="H480" s="42">
        <v>110</v>
      </c>
      <c r="I480" s="40" t="s">
        <v>13</v>
      </c>
    </row>
    <row r="481" spans="1:9" x14ac:dyDescent="0.25">
      <c r="A481" s="40" t="s">
        <v>247</v>
      </c>
      <c r="B481" s="40">
        <v>4</v>
      </c>
      <c r="C481" s="41">
        <v>46126</v>
      </c>
      <c r="D481" s="40" t="s">
        <v>10</v>
      </c>
      <c r="E481" s="40" t="s">
        <v>133</v>
      </c>
      <c r="F481" s="40" t="s">
        <v>18</v>
      </c>
      <c r="G481" s="40" t="s">
        <v>91</v>
      </c>
      <c r="H481" s="42">
        <v>50</v>
      </c>
      <c r="I481" s="40" t="s">
        <v>13</v>
      </c>
    </row>
    <row r="482" spans="1:9" x14ac:dyDescent="0.25">
      <c r="A482" s="40" t="s">
        <v>247</v>
      </c>
      <c r="B482" s="40">
        <v>4</v>
      </c>
      <c r="C482" s="41">
        <v>46126</v>
      </c>
      <c r="D482" s="40" t="s">
        <v>10</v>
      </c>
      <c r="E482" s="40" t="s">
        <v>296</v>
      </c>
      <c r="F482" s="40" t="s">
        <v>12</v>
      </c>
      <c r="G482" s="40"/>
      <c r="H482" s="42">
        <v>50</v>
      </c>
      <c r="I482" s="40" t="s">
        <v>13</v>
      </c>
    </row>
    <row r="483" spans="1:9" x14ac:dyDescent="0.25">
      <c r="A483" s="40" t="s">
        <v>247</v>
      </c>
      <c r="B483" s="40">
        <v>4</v>
      </c>
      <c r="C483" s="41">
        <v>46126</v>
      </c>
      <c r="D483" s="40" t="s">
        <v>10</v>
      </c>
      <c r="E483" s="40" t="s">
        <v>273</v>
      </c>
      <c r="F483" s="40" t="s">
        <v>12</v>
      </c>
      <c r="G483" s="40"/>
      <c r="H483" s="42">
        <v>29</v>
      </c>
      <c r="I483" s="40" t="s">
        <v>21</v>
      </c>
    </row>
    <row r="484" spans="1:9" x14ac:dyDescent="0.25">
      <c r="A484" s="40" t="s">
        <v>247</v>
      </c>
      <c r="B484" s="40">
        <v>4</v>
      </c>
      <c r="C484" s="41">
        <v>46126</v>
      </c>
      <c r="D484" s="40" t="s">
        <v>10</v>
      </c>
      <c r="E484" s="40" t="s">
        <v>175</v>
      </c>
      <c r="F484" s="40" t="s">
        <v>12</v>
      </c>
      <c r="G484" s="40"/>
      <c r="H484" s="42">
        <v>10</v>
      </c>
      <c r="I484" s="40" t="s">
        <v>21</v>
      </c>
    </row>
    <row r="485" spans="1:9" x14ac:dyDescent="0.25">
      <c r="A485" s="40" t="s">
        <v>247</v>
      </c>
      <c r="B485" s="40">
        <v>4</v>
      </c>
      <c r="C485" s="41">
        <v>46126</v>
      </c>
      <c r="D485" s="40" t="s">
        <v>10</v>
      </c>
      <c r="E485" s="40" t="s">
        <v>297</v>
      </c>
      <c r="F485" s="40" t="s">
        <v>12</v>
      </c>
      <c r="G485" s="40"/>
      <c r="H485" s="42">
        <v>10</v>
      </c>
      <c r="I485" s="40" t="s">
        <v>13</v>
      </c>
    </row>
    <row r="486" spans="1:9" x14ac:dyDescent="0.25">
      <c r="A486" s="40" t="s">
        <v>247</v>
      </c>
      <c r="B486" s="40">
        <v>4</v>
      </c>
      <c r="C486" s="41">
        <v>46126</v>
      </c>
      <c r="D486" s="40" t="s">
        <v>10</v>
      </c>
      <c r="E486" s="40" t="s">
        <v>298</v>
      </c>
      <c r="F486" s="40" t="s">
        <v>12</v>
      </c>
      <c r="G486" s="40"/>
      <c r="H486" s="42">
        <v>2</v>
      </c>
      <c r="I486" s="40" t="s">
        <v>13</v>
      </c>
    </row>
    <row r="487" spans="1:9" x14ac:dyDescent="0.25">
      <c r="A487" s="40" t="s">
        <v>247</v>
      </c>
      <c r="B487" s="40">
        <v>4</v>
      </c>
      <c r="C487" s="41">
        <v>46126</v>
      </c>
      <c r="D487" s="40" t="s">
        <v>10</v>
      </c>
      <c r="E487" s="40" t="s">
        <v>19</v>
      </c>
      <c r="F487" s="40" t="s">
        <v>18</v>
      </c>
      <c r="G487" s="40" t="s">
        <v>19</v>
      </c>
      <c r="H487" s="42">
        <v>14</v>
      </c>
      <c r="I487" s="40" t="s">
        <v>13</v>
      </c>
    </row>
    <row r="488" spans="1:9" x14ac:dyDescent="0.25">
      <c r="A488" s="40" t="s">
        <v>247</v>
      </c>
      <c r="B488" s="40">
        <v>4</v>
      </c>
      <c r="C488" s="41">
        <v>46127</v>
      </c>
      <c r="D488" s="40" t="s">
        <v>10</v>
      </c>
      <c r="E488" s="40" t="s">
        <v>194</v>
      </c>
      <c r="F488" s="40" t="s">
        <v>12</v>
      </c>
      <c r="G488" s="40"/>
      <c r="H488" s="42">
        <v>5</v>
      </c>
      <c r="I488" s="40" t="s">
        <v>13</v>
      </c>
    </row>
    <row r="489" spans="1:9" x14ac:dyDescent="0.25">
      <c r="A489" s="40" t="s">
        <v>247</v>
      </c>
      <c r="B489" s="40">
        <v>4</v>
      </c>
      <c r="C489" s="41">
        <v>46127</v>
      </c>
      <c r="D489" s="40" t="s">
        <v>10</v>
      </c>
      <c r="E489" s="40" t="s">
        <v>190</v>
      </c>
      <c r="F489" s="40" t="s">
        <v>12</v>
      </c>
      <c r="G489" s="40"/>
      <c r="H489" s="42">
        <v>13</v>
      </c>
      <c r="I489" s="40" t="s">
        <v>13</v>
      </c>
    </row>
    <row r="490" spans="1:9" x14ac:dyDescent="0.25">
      <c r="A490" s="40" t="s">
        <v>247</v>
      </c>
      <c r="B490" s="40">
        <v>4</v>
      </c>
      <c r="C490" s="41">
        <v>46127</v>
      </c>
      <c r="D490" s="40" t="s">
        <v>10</v>
      </c>
      <c r="E490" s="40" t="s">
        <v>258</v>
      </c>
      <c r="F490" s="40" t="s">
        <v>12</v>
      </c>
      <c r="G490" s="40"/>
      <c r="H490" s="42">
        <v>35</v>
      </c>
      <c r="I490" s="40" t="s">
        <v>13</v>
      </c>
    </row>
    <row r="491" spans="1:9" x14ac:dyDescent="0.25">
      <c r="A491" s="40" t="s">
        <v>247</v>
      </c>
      <c r="B491" s="40">
        <v>4</v>
      </c>
      <c r="C491" s="41">
        <v>46127</v>
      </c>
      <c r="D491" s="40" t="s">
        <v>10</v>
      </c>
      <c r="E491" s="40" t="s">
        <v>299</v>
      </c>
      <c r="F491" s="40" t="s">
        <v>12</v>
      </c>
      <c r="G491" s="40"/>
      <c r="H491" s="42">
        <v>12</v>
      </c>
      <c r="I491" s="40" t="s">
        <v>13</v>
      </c>
    </row>
    <row r="492" spans="1:9" x14ac:dyDescent="0.25">
      <c r="A492" s="40" t="s">
        <v>247</v>
      </c>
      <c r="B492" s="40">
        <v>4</v>
      </c>
      <c r="C492" s="41">
        <v>46128</v>
      </c>
      <c r="D492" s="40" t="s">
        <v>10</v>
      </c>
      <c r="E492" s="40" t="s">
        <v>31</v>
      </c>
      <c r="F492" s="40" t="s">
        <v>12</v>
      </c>
      <c r="G492" s="40"/>
      <c r="H492" s="42">
        <v>7</v>
      </c>
      <c r="I492" s="40" t="s">
        <v>13</v>
      </c>
    </row>
    <row r="493" spans="1:9" x14ac:dyDescent="0.25">
      <c r="A493" s="40" t="s">
        <v>247</v>
      </c>
      <c r="B493" s="40">
        <v>4</v>
      </c>
      <c r="C493" s="41">
        <v>46128</v>
      </c>
      <c r="D493" s="40" t="s">
        <v>10</v>
      </c>
      <c r="E493" s="40" t="s">
        <v>31</v>
      </c>
      <c r="F493" s="40" t="s">
        <v>12</v>
      </c>
      <c r="G493" s="40"/>
      <c r="H493" s="42">
        <v>24</v>
      </c>
      <c r="I493" s="40" t="s">
        <v>21</v>
      </c>
    </row>
    <row r="494" spans="1:9" x14ac:dyDescent="0.25">
      <c r="A494" s="40" t="s">
        <v>247</v>
      </c>
      <c r="B494" s="40">
        <v>4</v>
      </c>
      <c r="C494" s="41">
        <v>46128</v>
      </c>
      <c r="D494" s="40" t="s">
        <v>10</v>
      </c>
      <c r="E494" s="40" t="s">
        <v>300</v>
      </c>
      <c r="F494" s="40" t="s">
        <v>18</v>
      </c>
      <c r="G494" s="40" t="s">
        <v>98</v>
      </c>
      <c r="H494" s="42">
        <v>10</v>
      </c>
      <c r="I494" s="40" t="s">
        <v>13</v>
      </c>
    </row>
    <row r="495" spans="1:9" x14ac:dyDescent="0.25">
      <c r="A495" s="40" t="s">
        <v>247</v>
      </c>
      <c r="B495" s="40">
        <v>4</v>
      </c>
      <c r="C495" s="41">
        <v>46128</v>
      </c>
      <c r="D495" s="40" t="s">
        <v>10</v>
      </c>
      <c r="E495" s="40" t="s">
        <v>301</v>
      </c>
      <c r="F495" s="40" t="s">
        <v>12</v>
      </c>
      <c r="G495" s="40"/>
      <c r="H495" s="42">
        <v>9</v>
      </c>
      <c r="I495" s="40" t="s">
        <v>13</v>
      </c>
    </row>
    <row r="496" spans="1:9" x14ac:dyDescent="0.25">
      <c r="A496" s="40" t="s">
        <v>247</v>
      </c>
      <c r="B496" s="40">
        <v>4</v>
      </c>
      <c r="C496" s="41">
        <v>46128</v>
      </c>
      <c r="D496" s="40" t="s">
        <v>10</v>
      </c>
      <c r="E496" s="40" t="s">
        <v>30</v>
      </c>
      <c r="F496" s="40" t="s">
        <v>18</v>
      </c>
      <c r="G496" s="40" t="s">
        <v>30</v>
      </c>
      <c r="H496" s="42">
        <v>50</v>
      </c>
      <c r="I496" s="40" t="s">
        <v>13</v>
      </c>
    </row>
    <row r="497" spans="1:9" x14ac:dyDescent="0.25">
      <c r="A497" s="40" t="s">
        <v>247</v>
      </c>
      <c r="B497" s="40">
        <v>4</v>
      </c>
      <c r="C497" s="41">
        <v>46128</v>
      </c>
      <c r="D497" s="40" t="s">
        <v>10</v>
      </c>
      <c r="E497" s="40" t="s">
        <v>150</v>
      </c>
      <c r="F497" s="40" t="s">
        <v>12</v>
      </c>
      <c r="G497" s="40"/>
      <c r="H497" s="42">
        <v>28</v>
      </c>
      <c r="I497" s="40" t="s">
        <v>13</v>
      </c>
    </row>
    <row r="498" spans="1:9" x14ac:dyDescent="0.25">
      <c r="A498" s="40" t="s">
        <v>247</v>
      </c>
      <c r="B498" s="40">
        <v>4</v>
      </c>
      <c r="C498" s="41">
        <v>46128</v>
      </c>
      <c r="D498" s="40" t="s">
        <v>10</v>
      </c>
      <c r="E498" s="40" t="s">
        <v>44</v>
      </c>
      <c r="F498" s="40" t="s">
        <v>12</v>
      </c>
      <c r="G498" s="40"/>
      <c r="H498" s="42">
        <v>10</v>
      </c>
      <c r="I498" s="40" t="s">
        <v>13</v>
      </c>
    </row>
    <row r="499" spans="1:9" x14ac:dyDescent="0.25">
      <c r="A499" s="40" t="s">
        <v>247</v>
      </c>
      <c r="B499" s="40">
        <v>4</v>
      </c>
      <c r="C499" s="41">
        <v>46128</v>
      </c>
      <c r="D499" s="40" t="s">
        <v>10</v>
      </c>
      <c r="E499" s="40" t="s">
        <v>194</v>
      </c>
      <c r="F499" s="40" t="s">
        <v>12</v>
      </c>
      <c r="G499" s="40"/>
      <c r="H499" s="42">
        <v>5.5</v>
      </c>
      <c r="I499" s="40" t="s">
        <v>13</v>
      </c>
    </row>
    <row r="500" spans="1:9" x14ac:dyDescent="0.25">
      <c r="A500" s="40" t="s">
        <v>247</v>
      </c>
      <c r="B500" s="40">
        <v>4</v>
      </c>
      <c r="C500" s="41">
        <v>46128</v>
      </c>
      <c r="D500" s="40" t="s">
        <v>10</v>
      </c>
      <c r="E500" s="40" t="s">
        <v>183</v>
      </c>
      <c r="F500" s="40" t="s">
        <v>12</v>
      </c>
      <c r="G500" s="40"/>
      <c r="H500" s="42">
        <v>11</v>
      </c>
      <c r="I500" s="40" t="s">
        <v>13</v>
      </c>
    </row>
    <row r="501" spans="1:9" x14ac:dyDescent="0.25">
      <c r="A501" s="40" t="s">
        <v>247</v>
      </c>
      <c r="B501" s="40">
        <v>4</v>
      </c>
      <c r="C501" s="41">
        <v>46129</v>
      </c>
      <c r="D501" s="40" t="s">
        <v>10</v>
      </c>
      <c r="E501" s="40" t="s">
        <v>159</v>
      </c>
      <c r="F501" s="40" t="s">
        <v>12</v>
      </c>
      <c r="G501" s="40"/>
      <c r="H501" s="42">
        <v>10</v>
      </c>
      <c r="I501" s="40" t="s">
        <v>13</v>
      </c>
    </row>
    <row r="502" spans="1:9" x14ac:dyDescent="0.25">
      <c r="A502" s="40" t="s">
        <v>247</v>
      </c>
      <c r="B502" s="40">
        <v>4</v>
      </c>
      <c r="C502" s="41">
        <v>46129</v>
      </c>
      <c r="D502" s="40" t="s">
        <v>10</v>
      </c>
      <c r="E502" s="40" t="s">
        <v>129</v>
      </c>
      <c r="F502" s="40" t="s">
        <v>18</v>
      </c>
      <c r="G502" s="40" t="s">
        <v>88</v>
      </c>
      <c r="H502" s="42">
        <v>40</v>
      </c>
      <c r="I502" s="40" t="s">
        <v>13</v>
      </c>
    </row>
    <row r="503" spans="1:9" x14ac:dyDescent="0.25">
      <c r="A503" s="40" t="s">
        <v>247</v>
      </c>
      <c r="B503" s="40">
        <v>4</v>
      </c>
      <c r="C503" s="41">
        <v>46129</v>
      </c>
      <c r="D503" s="40" t="s">
        <v>10</v>
      </c>
      <c r="E503" s="40" t="s">
        <v>302</v>
      </c>
      <c r="F503" s="40" t="s">
        <v>12</v>
      </c>
      <c r="G503" s="40"/>
      <c r="H503" s="42">
        <v>12</v>
      </c>
      <c r="I503" s="40" t="s">
        <v>13</v>
      </c>
    </row>
    <row r="504" spans="1:9" x14ac:dyDescent="0.25">
      <c r="A504" s="40" t="s">
        <v>247</v>
      </c>
      <c r="B504" s="40">
        <v>4</v>
      </c>
      <c r="C504" s="41">
        <v>46129</v>
      </c>
      <c r="D504" s="40" t="s">
        <v>10</v>
      </c>
      <c r="E504" s="40" t="s">
        <v>44</v>
      </c>
      <c r="F504" s="40" t="s">
        <v>12</v>
      </c>
      <c r="G504" s="40"/>
      <c r="H504" s="42">
        <v>5</v>
      </c>
      <c r="I504" s="40" t="s">
        <v>13</v>
      </c>
    </row>
    <row r="505" spans="1:9" x14ac:dyDescent="0.25">
      <c r="A505" s="40" t="s">
        <v>247</v>
      </c>
      <c r="B505" s="40">
        <v>4</v>
      </c>
      <c r="C505" s="41">
        <v>46130</v>
      </c>
      <c r="D505" s="40" t="s">
        <v>10</v>
      </c>
      <c r="E505" s="40" t="s">
        <v>303</v>
      </c>
      <c r="F505" s="40" t="s">
        <v>12</v>
      </c>
      <c r="G505" s="40"/>
      <c r="H505" s="42">
        <v>10</v>
      </c>
      <c r="I505" s="40" t="s">
        <v>13</v>
      </c>
    </row>
    <row r="506" spans="1:9" x14ac:dyDescent="0.25">
      <c r="A506" s="40" t="s">
        <v>247</v>
      </c>
      <c r="B506" s="40">
        <v>4</v>
      </c>
      <c r="C506" s="41">
        <v>46130</v>
      </c>
      <c r="D506" s="40" t="s">
        <v>10</v>
      </c>
      <c r="E506" s="40" t="s">
        <v>304</v>
      </c>
      <c r="F506" s="40" t="s">
        <v>18</v>
      </c>
      <c r="G506" s="40" t="s">
        <v>24</v>
      </c>
      <c r="H506" s="42">
        <v>55</v>
      </c>
      <c r="I506" s="40" t="s">
        <v>21</v>
      </c>
    </row>
    <row r="507" spans="1:9" x14ac:dyDescent="0.25">
      <c r="A507" s="40" t="s">
        <v>247</v>
      </c>
      <c r="B507" s="40">
        <v>4</v>
      </c>
      <c r="C507" s="41">
        <v>46130</v>
      </c>
      <c r="D507" s="40" t="s">
        <v>10</v>
      </c>
      <c r="E507" s="40" t="s">
        <v>219</v>
      </c>
      <c r="F507" s="40" t="s">
        <v>18</v>
      </c>
      <c r="G507" s="40" t="s">
        <v>24</v>
      </c>
      <c r="H507" s="42">
        <v>45</v>
      </c>
      <c r="I507" s="40" t="s">
        <v>13</v>
      </c>
    </row>
    <row r="508" spans="1:9" x14ac:dyDescent="0.25">
      <c r="A508" s="40" t="s">
        <v>247</v>
      </c>
      <c r="B508" s="40">
        <v>4</v>
      </c>
      <c r="C508" s="41">
        <v>46130</v>
      </c>
      <c r="D508" s="40" t="s">
        <v>10</v>
      </c>
      <c r="E508" s="40" t="s">
        <v>24</v>
      </c>
      <c r="F508" s="40" t="s">
        <v>18</v>
      </c>
      <c r="G508" s="40" t="s">
        <v>24</v>
      </c>
      <c r="H508" s="42">
        <v>30</v>
      </c>
      <c r="I508" s="40" t="s">
        <v>21</v>
      </c>
    </row>
    <row r="509" spans="1:9" x14ac:dyDescent="0.25">
      <c r="A509" s="40" t="s">
        <v>247</v>
      </c>
      <c r="B509" s="40">
        <v>4</v>
      </c>
      <c r="C509" s="41">
        <v>46130</v>
      </c>
      <c r="D509" s="40" t="s">
        <v>10</v>
      </c>
      <c r="E509" s="40" t="s">
        <v>115</v>
      </c>
      <c r="F509" s="40" t="s">
        <v>12</v>
      </c>
      <c r="G509" s="40"/>
      <c r="H509" s="42">
        <v>40</v>
      </c>
      <c r="I509" s="40" t="s">
        <v>13</v>
      </c>
    </row>
    <row r="510" spans="1:9" x14ac:dyDescent="0.25">
      <c r="A510" s="40" t="s">
        <v>247</v>
      </c>
      <c r="B510" s="40">
        <v>4</v>
      </c>
      <c r="C510" s="41">
        <v>46130</v>
      </c>
      <c r="D510" s="40" t="s">
        <v>10</v>
      </c>
      <c r="E510" s="40" t="s">
        <v>115</v>
      </c>
      <c r="F510" s="40" t="s">
        <v>12</v>
      </c>
      <c r="G510" s="40"/>
      <c r="H510" s="42">
        <v>40</v>
      </c>
      <c r="I510" s="40" t="s">
        <v>21</v>
      </c>
    </row>
    <row r="511" spans="1:9" x14ac:dyDescent="0.25">
      <c r="A511" s="40" t="s">
        <v>247</v>
      </c>
      <c r="B511" s="40">
        <v>4</v>
      </c>
      <c r="C511" s="41">
        <v>46130</v>
      </c>
      <c r="D511" s="40" t="s">
        <v>10</v>
      </c>
      <c r="E511" s="40" t="s">
        <v>69</v>
      </c>
      <c r="F511" s="40" t="s">
        <v>12</v>
      </c>
      <c r="G511" s="40"/>
      <c r="H511" s="42">
        <v>5</v>
      </c>
      <c r="I511" s="40" t="s">
        <v>13</v>
      </c>
    </row>
    <row r="512" spans="1:9" x14ac:dyDescent="0.25">
      <c r="A512" s="40" t="s">
        <v>247</v>
      </c>
      <c r="B512" s="40">
        <v>4</v>
      </c>
      <c r="C512" s="41">
        <v>46131</v>
      </c>
      <c r="D512" s="40" t="s">
        <v>10</v>
      </c>
      <c r="E512" s="40" t="s">
        <v>150</v>
      </c>
      <c r="F512" s="40" t="s">
        <v>12</v>
      </c>
      <c r="G512" s="40"/>
      <c r="H512" s="42">
        <v>30</v>
      </c>
      <c r="I512" s="40" t="s">
        <v>13</v>
      </c>
    </row>
    <row r="513" spans="1:9" x14ac:dyDescent="0.25">
      <c r="A513" s="40" t="s">
        <v>247</v>
      </c>
      <c r="B513" s="40">
        <v>4</v>
      </c>
      <c r="C513" s="41">
        <v>46131</v>
      </c>
      <c r="D513" s="40" t="s">
        <v>10</v>
      </c>
      <c r="E513" s="40" t="s">
        <v>266</v>
      </c>
      <c r="F513" s="40" t="s">
        <v>18</v>
      </c>
      <c r="G513" s="40" t="s">
        <v>72</v>
      </c>
      <c r="H513" s="42">
        <v>40</v>
      </c>
      <c r="I513" s="40" t="s">
        <v>13</v>
      </c>
    </row>
    <row r="514" spans="1:9" x14ac:dyDescent="0.25">
      <c r="A514" s="40" t="s">
        <v>247</v>
      </c>
      <c r="B514" s="40">
        <v>4</v>
      </c>
      <c r="C514" s="41">
        <v>46131</v>
      </c>
      <c r="D514" s="40" t="s">
        <v>10</v>
      </c>
      <c r="E514" s="40" t="s">
        <v>147</v>
      </c>
      <c r="F514" s="40" t="s">
        <v>12</v>
      </c>
      <c r="G514" s="40"/>
      <c r="H514" s="42">
        <v>6</v>
      </c>
      <c r="I514" s="40" t="s">
        <v>13</v>
      </c>
    </row>
    <row r="515" spans="1:9" x14ac:dyDescent="0.25">
      <c r="A515" s="40" t="s">
        <v>247</v>
      </c>
      <c r="B515" s="40">
        <v>4</v>
      </c>
      <c r="C515" s="41">
        <v>46132</v>
      </c>
      <c r="D515" s="40" t="s">
        <v>10</v>
      </c>
      <c r="E515" s="40" t="s">
        <v>305</v>
      </c>
      <c r="F515" s="40" t="s">
        <v>12</v>
      </c>
      <c r="G515" s="40"/>
      <c r="H515" s="42">
        <v>10</v>
      </c>
      <c r="I515" s="40" t="s">
        <v>13</v>
      </c>
    </row>
    <row r="516" spans="1:9" x14ac:dyDescent="0.25">
      <c r="A516" s="40" t="s">
        <v>247</v>
      </c>
      <c r="B516" s="40">
        <v>4</v>
      </c>
      <c r="C516" s="41">
        <v>46132</v>
      </c>
      <c r="D516" s="40" t="s">
        <v>10</v>
      </c>
      <c r="E516" s="40" t="s">
        <v>306</v>
      </c>
      <c r="F516" s="40" t="s">
        <v>12</v>
      </c>
      <c r="G516" s="40"/>
      <c r="H516" s="42">
        <v>5</v>
      </c>
      <c r="I516" s="40" t="s">
        <v>13</v>
      </c>
    </row>
    <row r="517" spans="1:9" x14ac:dyDescent="0.25">
      <c r="A517" s="40" t="s">
        <v>247</v>
      </c>
      <c r="B517" s="40">
        <v>4</v>
      </c>
      <c r="C517" s="41">
        <v>46132</v>
      </c>
      <c r="D517" s="40" t="s">
        <v>10</v>
      </c>
      <c r="E517" s="40" t="s">
        <v>38</v>
      </c>
      <c r="F517" s="40" t="s">
        <v>12</v>
      </c>
      <c r="G517" s="40"/>
      <c r="H517" s="42">
        <v>11</v>
      </c>
      <c r="I517" s="40" t="s">
        <v>13</v>
      </c>
    </row>
    <row r="518" spans="1:9" x14ac:dyDescent="0.25">
      <c r="A518" s="40" t="s">
        <v>247</v>
      </c>
      <c r="B518" s="40">
        <v>4</v>
      </c>
      <c r="C518" s="41">
        <v>46132</v>
      </c>
      <c r="D518" s="40" t="s">
        <v>10</v>
      </c>
      <c r="E518" s="40" t="s">
        <v>307</v>
      </c>
      <c r="F518" s="40" t="s">
        <v>18</v>
      </c>
      <c r="G518" s="40" t="s">
        <v>24</v>
      </c>
      <c r="H518" s="42">
        <v>75</v>
      </c>
      <c r="I518" s="40" t="s">
        <v>21</v>
      </c>
    </row>
    <row r="519" spans="1:9" x14ac:dyDescent="0.25">
      <c r="A519" s="40" t="s">
        <v>247</v>
      </c>
      <c r="B519" s="40">
        <v>4</v>
      </c>
      <c r="C519" s="41">
        <v>46133</v>
      </c>
      <c r="D519" s="40" t="s">
        <v>10</v>
      </c>
      <c r="E519" s="40" t="s">
        <v>30</v>
      </c>
      <c r="F519" s="40" t="s">
        <v>18</v>
      </c>
      <c r="G519" s="40" t="s">
        <v>30</v>
      </c>
      <c r="H519" s="42">
        <v>30</v>
      </c>
      <c r="I519" s="40" t="s">
        <v>13</v>
      </c>
    </row>
    <row r="520" spans="1:9" x14ac:dyDescent="0.25">
      <c r="A520" s="40" t="s">
        <v>247</v>
      </c>
      <c r="B520" s="40">
        <v>4</v>
      </c>
      <c r="C520" s="41">
        <v>46133</v>
      </c>
      <c r="D520" s="40" t="s">
        <v>10</v>
      </c>
      <c r="E520" s="40" t="s">
        <v>308</v>
      </c>
      <c r="F520" s="40" t="s">
        <v>12</v>
      </c>
      <c r="G520" s="40"/>
      <c r="H520" s="42">
        <v>55</v>
      </c>
      <c r="I520" s="40" t="s">
        <v>21</v>
      </c>
    </row>
    <row r="521" spans="1:9" x14ac:dyDescent="0.25">
      <c r="A521" s="40" t="s">
        <v>247</v>
      </c>
      <c r="B521" s="40">
        <v>4</v>
      </c>
      <c r="C521" s="41">
        <v>46133</v>
      </c>
      <c r="D521" s="40" t="s">
        <v>10</v>
      </c>
      <c r="E521" s="40" t="s">
        <v>24</v>
      </c>
      <c r="F521" s="40" t="s">
        <v>18</v>
      </c>
      <c r="G521" s="40" t="s">
        <v>24</v>
      </c>
      <c r="H521" s="42">
        <v>30</v>
      </c>
      <c r="I521" s="40" t="s">
        <v>21</v>
      </c>
    </row>
    <row r="522" spans="1:9" x14ac:dyDescent="0.25">
      <c r="A522" s="40" t="s">
        <v>247</v>
      </c>
      <c r="B522" s="40">
        <v>4</v>
      </c>
      <c r="C522" s="41">
        <v>46133</v>
      </c>
      <c r="D522" s="40" t="s">
        <v>10</v>
      </c>
      <c r="E522" s="40" t="s">
        <v>194</v>
      </c>
      <c r="F522" s="40" t="s">
        <v>12</v>
      </c>
      <c r="G522" s="40"/>
      <c r="H522" s="42">
        <v>5</v>
      </c>
      <c r="I522" s="40" t="s">
        <v>13</v>
      </c>
    </row>
    <row r="523" spans="1:9" x14ac:dyDescent="0.25">
      <c r="A523" s="40" t="s">
        <v>247</v>
      </c>
      <c r="B523" s="40">
        <v>4</v>
      </c>
      <c r="C523" s="41">
        <v>46134</v>
      </c>
      <c r="D523" s="40" t="s">
        <v>10</v>
      </c>
      <c r="E523" s="40" t="s">
        <v>266</v>
      </c>
      <c r="F523" s="40" t="s">
        <v>18</v>
      </c>
      <c r="G523" s="40" t="s">
        <v>72</v>
      </c>
      <c r="H523" s="42">
        <v>80</v>
      </c>
      <c r="I523" s="40" t="s">
        <v>13</v>
      </c>
    </row>
    <row r="524" spans="1:9" x14ac:dyDescent="0.25">
      <c r="A524" s="40" t="s">
        <v>247</v>
      </c>
      <c r="B524" s="40">
        <v>4</v>
      </c>
      <c r="C524" s="41">
        <v>46134</v>
      </c>
      <c r="D524" s="40" t="s">
        <v>10</v>
      </c>
      <c r="E524" s="40" t="s">
        <v>309</v>
      </c>
      <c r="F524" s="40" t="s">
        <v>18</v>
      </c>
      <c r="G524" s="40" t="s">
        <v>26</v>
      </c>
      <c r="H524" s="42">
        <v>40</v>
      </c>
      <c r="I524" s="40" t="s">
        <v>13</v>
      </c>
    </row>
    <row r="525" spans="1:9" x14ac:dyDescent="0.25">
      <c r="A525" s="40" t="s">
        <v>247</v>
      </c>
      <c r="B525" s="40">
        <v>4</v>
      </c>
      <c r="C525" s="41">
        <v>46134</v>
      </c>
      <c r="D525" s="40" t="s">
        <v>10</v>
      </c>
      <c r="E525" s="40" t="s">
        <v>310</v>
      </c>
      <c r="F525" s="40" t="s">
        <v>12</v>
      </c>
      <c r="G525" s="40"/>
      <c r="H525" s="42">
        <v>22</v>
      </c>
      <c r="I525" s="40" t="s">
        <v>13</v>
      </c>
    </row>
    <row r="526" spans="1:9" x14ac:dyDescent="0.25">
      <c r="A526" s="40" t="s">
        <v>247</v>
      </c>
      <c r="B526" s="40">
        <v>4</v>
      </c>
      <c r="C526" s="41">
        <v>46135</v>
      </c>
      <c r="D526" s="40" t="s">
        <v>10</v>
      </c>
      <c r="E526" s="40" t="s">
        <v>31</v>
      </c>
      <c r="F526" s="40" t="s">
        <v>12</v>
      </c>
      <c r="G526" s="40"/>
      <c r="H526" s="42">
        <v>6</v>
      </c>
      <c r="I526" s="40" t="s">
        <v>13</v>
      </c>
    </row>
    <row r="527" spans="1:9" x14ac:dyDescent="0.25">
      <c r="A527" s="40" t="s">
        <v>247</v>
      </c>
      <c r="B527" s="40">
        <v>4</v>
      </c>
      <c r="C527" s="41">
        <v>46135</v>
      </c>
      <c r="D527" s="40" t="s">
        <v>10</v>
      </c>
      <c r="E527" s="40" t="s">
        <v>162</v>
      </c>
      <c r="F527" s="40" t="s">
        <v>12</v>
      </c>
      <c r="G527" s="40"/>
      <c r="H527" s="42">
        <v>10</v>
      </c>
      <c r="I527" s="40" t="s">
        <v>13</v>
      </c>
    </row>
    <row r="528" spans="1:9" x14ac:dyDescent="0.25">
      <c r="A528" s="40" t="s">
        <v>247</v>
      </c>
      <c r="B528" s="40">
        <v>4</v>
      </c>
      <c r="C528" s="41">
        <v>46135</v>
      </c>
      <c r="D528" s="40" t="s">
        <v>10</v>
      </c>
      <c r="E528" s="40" t="s">
        <v>19</v>
      </c>
      <c r="F528" s="40" t="s">
        <v>18</v>
      </c>
      <c r="G528" s="40" t="s">
        <v>19</v>
      </c>
      <c r="H528" s="42">
        <v>35</v>
      </c>
      <c r="I528" s="40" t="s">
        <v>13</v>
      </c>
    </row>
    <row r="529" spans="1:9" x14ac:dyDescent="0.25">
      <c r="A529" s="40" t="s">
        <v>247</v>
      </c>
      <c r="B529" s="40">
        <v>4</v>
      </c>
      <c r="C529" s="41">
        <v>46136</v>
      </c>
      <c r="D529" s="40" t="s">
        <v>10</v>
      </c>
      <c r="E529" s="40" t="s">
        <v>311</v>
      </c>
      <c r="F529" s="40" t="s">
        <v>18</v>
      </c>
      <c r="G529" s="40" t="s">
        <v>72</v>
      </c>
      <c r="H529" s="42">
        <v>50</v>
      </c>
      <c r="I529" s="40" t="s">
        <v>13</v>
      </c>
    </row>
    <row r="530" spans="1:9" x14ac:dyDescent="0.25">
      <c r="A530" s="40" t="s">
        <v>247</v>
      </c>
      <c r="B530" s="40">
        <v>4</v>
      </c>
      <c r="C530" s="41">
        <v>46136</v>
      </c>
      <c r="D530" s="40" t="s">
        <v>10</v>
      </c>
      <c r="E530" s="40" t="s">
        <v>312</v>
      </c>
      <c r="F530" s="40" t="s">
        <v>12</v>
      </c>
      <c r="G530" s="40"/>
      <c r="H530" s="42">
        <v>5.5</v>
      </c>
      <c r="I530" s="40" t="s">
        <v>13</v>
      </c>
    </row>
    <row r="531" spans="1:9" x14ac:dyDescent="0.25">
      <c r="A531" s="40" t="s">
        <v>247</v>
      </c>
      <c r="B531" s="40">
        <v>4</v>
      </c>
      <c r="C531" s="41">
        <v>46136</v>
      </c>
      <c r="D531" s="40" t="s">
        <v>10</v>
      </c>
      <c r="E531" s="40" t="s">
        <v>313</v>
      </c>
      <c r="F531" s="40" t="s">
        <v>12</v>
      </c>
      <c r="G531" s="40"/>
      <c r="H531" s="42">
        <v>4.5</v>
      </c>
      <c r="I531" s="40" t="s">
        <v>13</v>
      </c>
    </row>
    <row r="532" spans="1:9" x14ac:dyDescent="0.25">
      <c r="A532" s="40" t="s">
        <v>247</v>
      </c>
      <c r="B532" s="40">
        <v>4</v>
      </c>
      <c r="C532" s="41">
        <v>46136</v>
      </c>
      <c r="D532" s="40" t="s">
        <v>10</v>
      </c>
      <c r="E532" s="40" t="s">
        <v>194</v>
      </c>
      <c r="F532" s="40" t="s">
        <v>12</v>
      </c>
      <c r="G532" s="40"/>
      <c r="H532" s="42">
        <v>5</v>
      </c>
      <c r="I532" s="40" t="s">
        <v>13</v>
      </c>
    </row>
    <row r="533" spans="1:9" x14ac:dyDescent="0.25">
      <c r="A533" s="40" t="s">
        <v>247</v>
      </c>
      <c r="B533" s="40">
        <v>4</v>
      </c>
      <c r="C533" s="41">
        <v>46136</v>
      </c>
      <c r="D533" s="40" t="s">
        <v>10</v>
      </c>
      <c r="E533" s="40" t="s">
        <v>314</v>
      </c>
      <c r="F533" s="40" t="s">
        <v>18</v>
      </c>
      <c r="G533" s="40" t="s">
        <v>24</v>
      </c>
      <c r="H533" s="42">
        <v>80</v>
      </c>
      <c r="I533" s="40" t="s">
        <v>21</v>
      </c>
    </row>
    <row r="534" spans="1:9" x14ac:dyDescent="0.25">
      <c r="A534" s="40" t="s">
        <v>247</v>
      </c>
      <c r="B534" s="40">
        <v>4</v>
      </c>
      <c r="C534" s="41">
        <v>46136</v>
      </c>
      <c r="D534" s="40" t="s">
        <v>10</v>
      </c>
      <c r="E534" s="40" t="s">
        <v>315</v>
      </c>
      <c r="F534" s="40" t="s">
        <v>12</v>
      </c>
      <c r="G534" s="40"/>
      <c r="H534" s="42">
        <v>80</v>
      </c>
      <c r="I534" s="40" t="s">
        <v>13</v>
      </c>
    </row>
    <row r="535" spans="1:9" x14ac:dyDescent="0.25">
      <c r="A535" s="40" t="s">
        <v>247</v>
      </c>
      <c r="B535" s="40">
        <v>4</v>
      </c>
      <c r="C535" s="41">
        <v>46136</v>
      </c>
      <c r="D535" s="40" t="s">
        <v>10</v>
      </c>
      <c r="E535" s="40" t="s">
        <v>316</v>
      </c>
      <c r="F535" s="40" t="s">
        <v>18</v>
      </c>
      <c r="G535" s="40" t="s">
        <v>24</v>
      </c>
      <c r="H535" s="42">
        <v>50</v>
      </c>
      <c r="I535" s="40" t="s">
        <v>21</v>
      </c>
    </row>
    <row r="536" spans="1:9" x14ac:dyDescent="0.25">
      <c r="A536" s="40" t="s">
        <v>247</v>
      </c>
      <c r="B536" s="40">
        <v>4</v>
      </c>
      <c r="C536" s="41">
        <v>46136</v>
      </c>
      <c r="D536" s="40" t="s">
        <v>10</v>
      </c>
      <c r="E536" s="40" t="s">
        <v>317</v>
      </c>
      <c r="F536" s="40" t="s">
        <v>18</v>
      </c>
      <c r="G536" s="40" t="s">
        <v>72</v>
      </c>
      <c r="H536" s="42">
        <v>75</v>
      </c>
      <c r="I536" s="40" t="s">
        <v>13</v>
      </c>
    </row>
    <row r="537" spans="1:9" x14ac:dyDescent="0.25">
      <c r="A537" s="40" t="s">
        <v>247</v>
      </c>
      <c r="B537" s="40">
        <v>4</v>
      </c>
      <c r="C537" s="41">
        <v>46136</v>
      </c>
      <c r="D537" s="40" t="s">
        <v>10</v>
      </c>
      <c r="E537" s="40" t="s">
        <v>26</v>
      </c>
      <c r="F537" s="40" t="s">
        <v>18</v>
      </c>
      <c r="G537" s="40" t="s">
        <v>26</v>
      </c>
      <c r="H537" s="42">
        <v>100</v>
      </c>
      <c r="I537" s="40" t="s">
        <v>13</v>
      </c>
    </row>
    <row r="538" spans="1:9" x14ac:dyDescent="0.25">
      <c r="A538" s="40" t="s">
        <v>247</v>
      </c>
      <c r="B538" s="40">
        <v>4</v>
      </c>
      <c r="C538" s="41">
        <v>46137</v>
      </c>
      <c r="D538" s="40" t="s">
        <v>10</v>
      </c>
      <c r="E538" s="40" t="s">
        <v>318</v>
      </c>
      <c r="F538" s="40" t="s">
        <v>12</v>
      </c>
      <c r="G538" s="40"/>
      <c r="H538" s="42">
        <v>5</v>
      </c>
      <c r="I538" s="40" t="s">
        <v>13</v>
      </c>
    </row>
    <row r="539" spans="1:9" x14ac:dyDescent="0.25">
      <c r="A539" s="40" t="s">
        <v>247</v>
      </c>
      <c r="B539" s="40">
        <v>4</v>
      </c>
      <c r="C539" s="41">
        <v>46137</v>
      </c>
      <c r="D539" s="40" t="s">
        <v>10</v>
      </c>
      <c r="E539" s="40" t="s">
        <v>319</v>
      </c>
      <c r="F539" s="40" t="s">
        <v>18</v>
      </c>
      <c r="G539" s="40" t="s">
        <v>30</v>
      </c>
      <c r="H539" s="42">
        <v>148</v>
      </c>
      <c r="I539" s="40" t="s">
        <v>13</v>
      </c>
    </row>
    <row r="540" spans="1:9" x14ac:dyDescent="0.25">
      <c r="A540" s="40" t="s">
        <v>247</v>
      </c>
      <c r="B540" s="40">
        <v>4</v>
      </c>
      <c r="C540" s="41">
        <v>46137</v>
      </c>
      <c r="D540" s="40" t="s">
        <v>10</v>
      </c>
      <c r="E540" s="40" t="s">
        <v>49</v>
      </c>
      <c r="F540" s="40" t="s">
        <v>18</v>
      </c>
      <c r="G540" s="40" t="s">
        <v>24</v>
      </c>
      <c r="H540" s="42">
        <v>35</v>
      </c>
      <c r="I540" s="40" t="s">
        <v>21</v>
      </c>
    </row>
    <row r="541" spans="1:9" x14ac:dyDescent="0.25">
      <c r="A541" s="40" t="s">
        <v>247</v>
      </c>
      <c r="B541" s="40">
        <v>4</v>
      </c>
      <c r="C541" s="41">
        <v>46137</v>
      </c>
      <c r="D541" s="40" t="s">
        <v>10</v>
      </c>
      <c r="E541" s="40" t="s">
        <v>45</v>
      </c>
      <c r="F541" s="40" t="s">
        <v>12</v>
      </c>
      <c r="G541" s="40"/>
      <c r="H541" s="42">
        <v>10</v>
      </c>
      <c r="I541" s="40" t="s">
        <v>13</v>
      </c>
    </row>
    <row r="542" spans="1:9" x14ac:dyDescent="0.25">
      <c r="A542" s="40" t="s">
        <v>247</v>
      </c>
      <c r="B542" s="40">
        <v>4</v>
      </c>
      <c r="C542" s="41">
        <v>46138</v>
      </c>
      <c r="D542" s="40" t="s">
        <v>10</v>
      </c>
      <c r="E542" s="40" t="s">
        <v>24</v>
      </c>
      <c r="F542" s="40" t="s">
        <v>18</v>
      </c>
      <c r="G542" s="40" t="s">
        <v>24</v>
      </c>
      <c r="H542" s="42">
        <v>60</v>
      </c>
      <c r="I542" s="40" t="s">
        <v>13</v>
      </c>
    </row>
    <row r="543" spans="1:9" x14ac:dyDescent="0.25">
      <c r="A543" s="40" t="s">
        <v>247</v>
      </c>
      <c r="B543" s="40">
        <v>4</v>
      </c>
      <c r="C543" s="41">
        <v>46140</v>
      </c>
      <c r="D543" s="40" t="s">
        <v>10</v>
      </c>
      <c r="E543" s="40" t="s">
        <v>320</v>
      </c>
      <c r="F543" s="40" t="s">
        <v>12</v>
      </c>
      <c r="G543" s="40"/>
      <c r="H543" s="42">
        <v>9</v>
      </c>
      <c r="I543" s="40" t="s">
        <v>13</v>
      </c>
    </row>
    <row r="544" spans="1:9" x14ac:dyDescent="0.25">
      <c r="A544" s="40" t="s">
        <v>247</v>
      </c>
      <c r="B544" s="40">
        <v>4</v>
      </c>
      <c r="C544" s="41">
        <v>46140</v>
      </c>
      <c r="D544" s="40" t="s">
        <v>10</v>
      </c>
      <c r="E544" s="40" t="s">
        <v>321</v>
      </c>
      <c r="F544" s="40" t="s">
        <v>18</v>
      </c>
      <c r="G544" s="40" t="s">
        <v>19</v>
      </c>
      <c r="H544" s="42">
        <v>235</v>
      </c>
      <c r="I544" s="40" t="s">
        <v>13</v>
      </c>
    </row>
    <row r="545" spans="1:9" x14ac:dyDescent="0.25">
      <c r="A545" s="40" t="s">
        <v>247</v>
      </c>
      <c r="B545" s="40">
        <v>4</v>
      </c>
      <c r="C545" s="41">
        <v>46140</v>
      </c>
      <c r="D545" s="40" t="s">
        <v>10</v>
      </c>
      <c r="E545" s="40" t="s">
        <v>24</v>
      </c>
      <c r="F545" s="40" t="s">
        <v>18</v>
      </c>
      <c r="G545" s="40" t="s">
        <v>24</v>
      </c>
      <c r="H545" s="42">
        <v>35</v>
      </c>
      <c r="I545" s="40" t="s">
        <v>13</v>
      </c>
    </row>
    <row r="546" spans="1:9" x14ac:dyDescent="0.25">
      <c r="A546" s="40" t="s">
        <v>247</v>
      </c>
      <c r="B546" s="40">
        <v>4</v>
      </c>
      <c r="C546" s="41">
        <v>46140</v>
      </c>
      <c r="D546" s="40" t="s">
        <v>10</v>
      </c>
      <c r="E546" s="40" t="s">
        <v>322</v>
      </c>
      <c r="F546" s="40" t="s">
        <v>12</v>
      </c>
      <c r="G546" s="40"/>
      <c r="H546" s="42">
        <v>37</v>
      </c>
      <c r="I546" s="40" t="s">
        <v>13</v>
      </c>
    </row>
    <row r="547" spans="1:9" x14ac:dyDescent="0.25">
      <c r="A547" s="40" t="s">
        <v>247</v>
      </c>
      <c r="B547" s="40">
        <v>4</v>
      </c>
      <c r="C547" s="41">
        <v>46140</v>
      </c>
      <c r="D547" s="40" t="s">
        <v>10</v>
      </c>
      <c r="E547" s="40" t="s">
        <v>147</v>
      </c>
      <c r="F547" s="40" t="s">
        <v>12</v>
      </c>
      <c r="G547" s="40"/>
      <c r="H547" s="42">
        <v>8</v>
      </c>
      <c r="I547" s="40" t="s">
        <v>13</v>
      </c>
    </row>
    <row r="548" spans="1:9" x14ac:dyDescent="0.25">
      <c r="A548" s="40" t="s">
        <v>247</v>
      </c>
      <c r="B548" s="40">
        <v>4</v>
      </c>
      <c r="C548" s="41">
        <v>46140</v>
      </c>
      <c r="D548" s="40" t="s">
        <v>10</v>
      </c>
      <c r="E548" s="40" t="s">
        <v>49</v>
      </c>
      <c r="F548" s="40" t="s">
        <v>18</v>
      </c>
      <c r="G548" s="40" t="s">
        <v>24</v>
      </c>
      <c r="H548" s="42">
        <v>35</v>
      </c>
      <c r="I548" s="40" t="s">
        <v>13</v>
      </c>
    </row>
    <row r="549" spans="1:9" x14ac:dyDescent="0.25">
      <c r="A549" s="40" t="s">
        <v>247</v>
      </c>
      <c r="B549" s="40">
        <v>4</v>
      </c>
      <c r="C549" s="41">
        <v>46140</v>
      </c>
      <c r="D549" s="40" t="s">
        <v>10</v>
      </c>
      <c r="E549" s="40" t="s">
        <v>323</v>
      </c>
      <c r="F549" s="40" t="s">
        <v>18</v>
      </c>
      <c r="G549" s="40" t="s">
        <v>24</v>
      </c>
      <c r="H549" s="42">
        <v>75</v>
      </c>
      <c r="I549" s="40" t="s">
        <v>13</v>
      </c>
    </row>
    <row r="550" spans="1:9" x14ac:dyDescent="0.25">
      <c r="A550" s="40" t="s">
        <v>247</v>
      </c>
      <c r="B550" s="40">
        <v>4</v>
      </c>
      <c r="C550" s="41">
        <v>46140</v>
      </c>
      <c r="D550" s="40" t="s">
        <v>10</v>
      </c>
      <c r="E550" s="40" t="s">
        <v>49</v>
      </c>
      <c r="F550" s="40" t="s">
        <v>18</v>
      </c>
      <c r="G550" s="40" t="s">
        <v>24</v>
      </c>
      <c r="H550" s="42">
        <v>40</v>
      </c>
      <c r="I550" s="40" t="s">
        <v>13</v>
      </c>
    </row>
    <row r="551" spans="1:9" x14ac:dyDescent="0.25">
      <c r="A551" s="40" t="s">
        <v>247</v>
      </c>
      <c r="B551" s="40">
        <v>4</v>
      </c>
      <c r="C551" s="41">
        <v>46140</v>
      </c>
      <c r="D551" s="40" t="s">
        <v>10</v>
      </c>
      <c r="E551" s="40" t="s">
        <v>49</v>
      </c>
      <c r="F551" s="40" t="s">
        <v>18</v>
      </c>
      <c r="G551" s="40" t="s">
        <v>24</v>
      </c>
      <c r="H551" s="42">
        <v>50</v>
      </c>
      <c r="I551" s="40" t="s">
        <v>13</v>
      </c>
    </row>
    <row r="552" spans="1:9" x14ac:dyDescent="0.25">
      <c r="A552" s="40" t="s">
        <v>247</v>
      </c>
      <c r="B552" s="40">
        <v>4</v>
      </c>
      <c r="C552" s="41">
        <v>46140</v>
      </c>
      <c r="D552" s="40" t="s">
        <v>10</v>
      </c>
      <c r="E552" s="40" t="s">
        <v>88</v>
      </c>
      <c r="F552" s="40" t="s">
        <v>18</v>
      </c>
      <c r="G552" s="40" t="s">
        <v>88</v>
      </c>
      <c r="H552" s="42">
        <v>10</v>
      </c>
      <c r="I552" s="40" t="s">
        <v>13</v>
      </c>
    </row>
    <row r="553" spans="1:9" x14ac:dyDescent="0.25">
      <c r="A553" s="40" t="s">
        <v>247</v>
      </c>
      <c r="B553" s="40">
        <v>4</v>
      </c>
      <c r="C553" s="41">
        <v>46140</v>
      </c>
      <c r="D553" s="40" t="s">
        <v>10</v>
      </c>
      <c r="E553" s="40" t="s">
        <v>44</v>
      </c>
      <c r="F553" s="40" t="s">
        <v>12</v>
      </c>
      <c r="G553" s="40"/>
      <c r="H553" s="42">
        <v>10</v>
      </c>
      <c r="I553" s="40" t="s">
        <v>13</v>
      </c>
    </row>
    <row r="554" spans="1:9" x14ac:dyDescent="0.25">
      <c r="A554" s="40" t="s">
        <v>247</v>
      </c>
      <c r="B554" s="40">
        <v>4</v>
      </c>
      <c r="C554" s="41">
        <v>46142</v>
      </c>
      <c r="D554" s="40" t="s">
        <v>10</v>
      </c>
      <c r="E554" s="40" t="s">
        <v>143</v>
      </c>
      <c r="F554" s="40" t="s">
        <v>12</v>
      </c>
      <c r="G554" s="40"/>
      <c r="H554" s="42">
        <v>7</v>
      </c>
      <c r="I554" s="40" t="s">
        <v>13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6AEB-5A0B-4601-A1C3-1E7EADDA5BBD}">
  <dimension ref="A1:AO59"/>
  <sheetViews>
    <sheetView tabSelected="1" zoomScale="50" workbookViewId="0">
      <selection activeCell="R41" sqref="R41"/>
    </sheetView>
  </sheetViews>
  <sheetFormatPr baseColWidth="10" defaultRowHeight="15" x14ac:dyDescent="0.25"/>
  <cols>
    <col min="2" max="2" width="13.85546875" bestFit="1" customWidth="1"/>
    <col min="3" max="3" width="13.42578125" bestFit="1" customWidth="1"/>
    <col min="4" max="4" width="12.7109375" bestFit="1" customWidth="1"/>
    <col min="6" max="6" width="16.28515625" customWidth="1"/>
    <col min="7" max="7" width="2.28515625" bestFit="1" customWidth="1"/>
    <col min="9" max="9" width="18.7109375" customWidth="1"/>
    <col min="10" max="10" width="14.42578125" customWidth="1"/>
    <col min="13" max="13" width="2.28515625" bestFit="1" customWidth="1"/>
    <col min="15" max="15" width="16.7109375" customWidth="1"/>
    <col min="16" max="16" width="15.5703125" customWidth="1"/>
    <col min="17" max="17" width="12.5703125" customWidth="1"/>
    <col min="19" max="19" width="2.28515625" bestFit="1" customWidth="1"/>
    <col min="22" max="22" width="24.42578125" customWidth="1"/>
    <col min="23" max="23" width="12.7109375" customWidth="1"/>
    <col min="24" max="24" width="12.85546875" customWidth="1"/>
    <col min="31" max="31" width="2.28515625" bestFit="1" customWidth="1"/>
    <col min="33" max="33" width="21.140625" customWidth="1"/>
    <col min="34" max="34" width="18.85546875" customWidth="1"/>
    <col min="38" max="38" width="2.28515625" bestFit="1" customWidth="1"/>
    <col min="40" max="40" width="19.7109375" customWidth="1"/>
    <col min="41" max="41" width="24.140625" customWidth="1"/>
  </cols>
  <sheetData>
    <row r="1" spans="1:41" ht="24.75" x14ac:dyDescent="0.4">
      <c r="A1" s="33" t="s">
        <v>1083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3" spans="1:41" x14ac:dyDescent="0.25">
      <c r="G3" s="31" t="s">
        <v>1095</v>
      </c>
      <c r="M3" s="31" t="s">
        <v>1095</v>
      </c>
      <c r="S3" s="31" t="s">
        <v>1095</v>
      </c>
      <c r="AE3" s="31" t="s">
        <v>1095</v>
      </c>
      <c r="AL3" s="31" t="s">
        <v>1095</v>
      </c>
    </row>
    <row r="4" spans="1:41" ht="15.75" x14ac:dyDescent="0.25">
      <c r="A4" s="24" t="s">
        <v>1084</v>
      </c>
      <c r="G4" s="31"/>
      <c r="M4" s="31"/>
      <c r="S4" s="31"/>
      <c r="AE4" s="31"/>
      <c r="AL4" s="31"/>
    </row>
    <row r="5" spans="1:41" ht="15.75" x14ac:dyDescent="0.25">
      <c r="A5" s="25" t="s">
        <v>0</v>
      </c>
      <c r="B5" s="25" t="s">
        <v>1085</v>
      </c>
      <c r="C5" s="25" t="s">
        <v>1086</v>
      </c>
      <c r="D5" s="25" t="s">
        <v>1087</v>
      </c>
      <c r="G5" s="31"/>
      <c r="I5" s="24" t="s">
        <v>1088</v>
      </c>
      <c r="M5" s="31"/>
      <c r="O5" s="24" t="s">
        <v>1089</v>
      </c>
      <c r="S5" s="31"/>
      <c r="V5" s="24" t="s">
        <v>1091</v>
      </c>
      <c r="AE5" s="31"/>
      <c r="AL5" s="31"/>
    </row>
    <row r="6" spans="1:41" ht="15.75" x14ac:dyDescent="0.25">
      <c r="A6" s="26" t="s">
        <v>9</v>
      </c>
      <c r="B6" s="27">
        <f>SUMIFS([1]Datos_Ventas!$H$2:$H$552,[1]Datos_Ventas!$A$2:$A$552,A6,[1]Datos_Ventas!$D$2:$D$552,"Ingreso")</f>
        <v>590</v>
      </c>
      <c r="C6" s="27">
        <f>SUMIFS([1]Datos_Ventas!$H$2:$H$552,[1]Datos_Ventas!$A$2:$A$552,A6,[1]Datos_Ventas!$D$2:$D$552,"Egreso")</f>
        <v>27.5</v>
      </c>
      <c r="D6" s="27">
        <f>B6-C6</f>
        <v>562.5</v>
      </c>
      <c r="G6" s="31"/>
      <c r="I6" s="25" t="s">
        <v>8</v>
      </c>
      <c r="J6" s="25" t="s">
        <v>7</v>
      </c>
      <c r="M6" s="31"/>
      <c r="O6" s="25" t="s">
        <v>5</v>
      </c>
      <c r="P6" s="25" t="s">
        <v>7</v>
      </c>
      <c r="Q6" s="25" t="s">
        <v>1090</v>
      </c>
      <c r="S6" s="31"/>
      <c r="V6" s="25" t="s">
        <v>18</v>
      </c>
      <c r="W6" s="25" t="s">
        <v>7</v>
      </c>
      <c r="X6" s="25" t="s">
        <v>1090</v>
      </c>
      <c r="AE6" s="31"/>
      <c r="AG6" s="24" t="s">
        <v>1092</v>
      </c>
      <c r="AL6" s="31"/>
      <c r="AN6" s="24" t="s">
        <v>1093</v>
      </c>
    </row>
    <row r="7" spans="1:41" x14ac:dyDescent="0.25">
      <c r="A7" s="26" t="s">
        <v>37</v>
      </c>
      <c r="B7" s="27">
        <f>SUMIFS([1]Datos_Ventas!$H$2:$H$552,[1]Datos_Ventas!$A$2:$A$552,A7,[1]Datos_Ventas!$D$2:$D$552,"Ingreso")</f>
        <v>7274.5</v>
      </c>
      <c r="C7" s="27">
        <f>SUMIFS([1]Datos_Ventas!$H$2:$H$552,[1]Datos_Ventas!$A$2:$A$552,A7,[1]Datos_Ventas!$D$2:$D$552,"Egreso")</f>
        <v>915</v>
      </c>
      <c r="D7" s="27">
        <f>B7-C7</f>
        <v>6359.5</v>
      </c>
      <c r="G7" s="31"/>
      <c r="I7" s="26" t="s">
        <v>13</v>
      </c>
      <c r="J7" s="27">
        <f>SUMIFS([1]Datos_Ventas!$H$2:$H$552,[1]Datos_Ventas!$I$2:$I$552,I7,[1]Datos_Ventas!$D$2:$D$552,"Ingreso")</f>
        <v>14878.5</v>
      </c>
      <c r="M7" s="31"/>
      <c r="O7" s="26" t="s">
        <v>12</v>
      </c>
      <c r="P7" s="27">
        <f>SUMIFS([1]Datos_Ventas!$H$2:$H$552,[1]Datos_Ventas!$F$2:$F$552,O7)</f>
        <v>7351</v>
      </c>
      <c r="Q7" s="30">
        <f>COUNTIF([1]Datos_Ventas!$F$2:$F$552,O7)</f>
        <v>324</v>
      </c>
      <c r="S7" s="31"/>
      <c r="V7" s="26" t="s">
        <v>24</v>
      </c>
      <c r="W7" s="27">
        <f>SUMIFS([1]Datos_Ventas!$H$2:$H$552,[1]Datos_Ventas!$G$2:$G$552,V7)</f>
        <v>3996</v>
      </c>
      <c r="X7" s="30">
        <f>COUNTIF([1]Datos_Ventas!$G$2:$G$552,V7)</f>
        <v>85</v>
      </c>
      <c r="AE7" s="31"/>
      <c r="AG7" s="25" t="s">
        <v>0</v>
      </c>
      <c r="AH7" s="25" t="s">
        <v>1086</v>
      </c>
      <c r="AL7" s="31"/>
      <c r="AN7" s="25" t="s">
        <v>0</v>
      </c>
      <c r="AO7" s="25" t="s">
        <v>1094</v>
      </c>
    </row>
    <row r="8" spans="1:41" x14ac:dyDescent="0.25">
      <c r="A8" s="26" t="s">
        <v>182</v>
      </c>
      <c r="B8" s="27">
        <f>SUMIFS([1]Datos_Ventas!$H$2:$H$552,[1]Datos_Ventas!$A$2:$A$552,A8,[1]Datos_Ventas!$D$2:$D$552,"Ingreso")</f>
        <v>4583</v>
      </c>
      <c r="C8" s="27">
        <f>SUMIFS([1]Datos_Ventas!$H$2:$H$552,[1]Datos_Ventas!$A$2:$A$552,A8,[1]Datos_Ventas!$D$2:$D$552,"Egreso")</f>
        <v>229</v>
      </c>
      <c r="D8" s="27">
        <f>B8-C8</f>
        <v>4354</v>
      </c>
      <c r="G8" s="31"/>
      <c r="I8" s="26" t="s">
        <v>21</v>
      </c>
      <c r="J8" s="27">
        <f>SUMIFS([1]Datos_Ventas!$H$2:$H$552,[1]Datos_Ventas!$I$2:$I$552,I8,[1]Datos_Ventas!$D$2:$D$552,"Ingreso")</f>
        <v>3224.5</v>
      </c>
      <c r="M8" s="31"/>
      <c r="O8" s="26" t="s">
        <v>18</v>
      </c>
      <c r="P8" s="27">
        <f>SUMIFS([1]Datos_Ventas!$H$2:$H$552,[1]Datos_Ventas!$F$2:$F$552,O8)</f>
        <v>10912</v>
      </c>
      <c r="Q8" s="30">
        <f>COUNTIF([1]Datos_Ventas!$F$2:$F$552,O8)</f>
        <v>204</v>
      </c>
      <c r="S8" s="31"/>
      <c r="V8" s="26" t="s">
        <v>26</v>
      </c>
      <c r="W8" s="27">
        <f>SUMIFS([1]Datos_Ventas!$H$2:$H$552,[1]Datos_Ventas!$G$2:$G$552,V8)</f>
        <v>2538</v>
      </c>
      <c r="X8" s="30">
        <f>COUNTIF([1]Datos_Ventas!$G$2:$G$552,V8)</f>
        <v>36</v>
      </c>
      <c r="AE8" s="31"/>
      <c r="AG8" s="26" t="s">
        <v>9</v>
      </c>
      <c r="AH8" s="27">
        <f>SUMIFS([1]Datos_Ventas!$H$2:$H$552,[1]Datos_Ventas!$A$2:$A$552,AG8,[1]Datos_Ventas!$D$2:$D$552,"Egreso")</f>
        <v>27.5</v>
      </c>
      <c r="AL8" s="31"/>
      <c r="AN8" s="26" t="s">
        <v>9</v>
      </c>
      <c r="AO8" s="27">
        <f>ROUND(AVERAGEIFS([1]Datos_Ventas!$H$2:$H$552,[1]Datos_Ventas!$A$2:$A$552,AN8,[1]Datos_Ventas!$D$2:$D$552,"Ingreso"),2)</f>
        <v>31.05</v>
      </c>
    </row>
    <row r="9" spans="1:41" x14ac:dyDescent="0.25">
      <c r="A9" s="26" t="s">
        <v>247</v>
      </c>
      <c r="B9" s="27">
        <f>SUMIFS([1]Datos_Ventas!$H$2:$H$552,[1]Datos_Ventas!$A$2:$A$552,A9,[1]Datos_Ventas!$D$2:$D$552,"Ingreso")</f>
        <v>5815.5</v>
      </c>
      <c r="C9" s="27">
        <f>SUMIFS([1]Datos_Ventas!$H$2:$H$552,[1]Datos_Ventas!$A$2:$A$552,A9,[1]Datos_Ventas!$D$2:$D$552,"Egreso")</f>
        <v>16.5</v>
      </c>
      <c r="D9" s="27">
        <f>B9-C9</f>
        <v>5799</v>
      </c>
      <c r="G9" s="31"/>
      <c r="I9" s="26" t="s">
        <v>179</v>
      </c>
      <c r="J9" s="27">
        <f>SUMIFS([1]Datos_Ventas!$H$2:$H$552,[1]Datos_Ventas!$I$2:$I$552,I9,[1]Datos_Ventas!$D$2:$D$552,"Ingreso")</f>
        <v>160</v>
      </c>
      <c r="M9" s="31"/>
      <c r="S9" s="31"/>
      <c r="V9" s="26" t="s">
        <v>72</v>
      </c>
      <c r="W9" s="27">
        <f>SUMIFS([1]Datos_Ventas!$H$2:$H$552,[1]Datos_Ventas!$G$2:$G$552,V9)</f>
        <v>1644</v>
      </c>
      <c r="X9" s="30">
        <f>COUNTIF([1]Datos_Ventas!$G$2:$G$552,V9)</f>
        <v>27</v>
      </c>
      <c r="AE9" s="31"/>
      <c r="AG9" s="26" t="s">
        <v>37</v>
      </c>
      <c r="AH9" s="27">
        <f>SUMIFS([1]Datos_Ventas!$H$2:$H$552,[1]Datos_Ventas!$A$2:$A$552,AG9,[1]Datos_Ventas!$D$2:$D$552,"Egreso")</f>
        <v>915</v>
      </c>
      <c r="AL9" s="31"/>
      <c r="AN9" s="26" t="s">
        <v>37</v>
      </c>
      <c r="AO9" s="27">
        <f>ROUND(AVERAGEIFS([1]Datos_Ventas!$H$2:$H$552,[1]Datos_Ventas!$A$2:$A$552,AN9,[1]Datos_Ventas!$D$2:$D$552,"Ingreso"),2)</f>
        <v>35.659999999999997</v>
      </c>
    </row>
    <row r="10" spans="1:41" x14ac:dyDescent="0.25">
      <c r="A10" s="28" t="s">
        <v>1064</v>
      </c>
      <c r="B10" s="29">
        <f>SUM(B6:B9)</f>
        <v>18263</v>
      </c>
      <c r="C10" s="29">
        <f>SUM(C6:C9)</f>
        <v>1188</v>
      </c>
      <c r="D10" s="29">
        <f>SUM(D6:D9)</f>
        <v>17075</v>
      </c>
      <c r="G10" s="31"/>
      <c r="M10" s="31"/>
      <c r="S10" s="31"/>
      <c r="V10" s="26" t="s">
        <v>91</v>
      </c>
      <c r="W10" s="27">
        <f>SUMIFS([1]Datos_Ventas!$H$2:$H$552,[1]Datos_Ventas!$G$2:$G$552,V10)</f>
        <v>860</v>
      </c>
      <c r="X10" s="30">
        <f>COUNTIF([1]Datos_Ventas!$G$2:$G$552,V10)</f>
        <v>8</v>
      </c>
      <c r="AE10" s="31"/>
      <c r="AG10" s="26" t="s">
        <v>182</v>
      </c>
      <c r="AH10" s="27">
        <f>SUMIFS([1]Datos_Ventas!$H$2:$H$552,[1]Datos_Ventas!$A$2:$A$552,AG10,[1]Datos_Ventas!$D$2:$D$552,"Egreso")</f>
        <v>229</v>
      </c>
      <c r="AL10" s="31"/>
      <c r="AN10" s="26" t="s">
        <v>182</v>
      </c>
      <c r="AO10" s="27">
        <f>ROUND(AVERAGEIFS([1]Datos_Ventas!$H$2:$H$552,[1]Datos_Ventas!$A$2:$A$552,AN10,[1]Datos_Ventas!$D$2:$D$552,"Ingreso"),2)</f>
        <v>33.950000000000003</v>
      </c>
    </row>
    <row r="11" spans="1:41" x14ac:dyDescent="0.25">
      <c r="G11" s="31"/>
      <c r="M11" s="31"/>
      <c r="S11" s="31"/>
      <c r="V11" s="26" t="s">
        <v>30</v>
      </c>
      <c r="W11" s="27">
        <f>SUMIFS([1]Datos_Ventas!$H$2:$H$552,[1]Datos_Ventas!$G$2:$G$552,V11)</f>
        <v>788</v>
      </c>
      <c r="X11" s="30">
        <f>COUNTIF([1]Datos_Ventas!$G$2:$G$552,V11)</f>
        <v>14</v>
      </c>
      <c r="AE11" s="31"/>
      <c r="AG11" s="26" t="s">
        <v>247</v>
      </c>
      <c r="AH11" s="27">
        <f>SUMIFS([1]Datos_Ventas!$H$2:$H$552,[1]Datos_Ventas!$A$2:$A$552,AG11,[1]Datos_Ventas!$D$2:$D$552,"Egreso")</f>
        <v>16.5</v>
      </c>
      <c r="AL11" s="31"/>
      <c r="AN11" s="26" t="s">
        <v>247</v>
      </c>
      <c r="AO11" s="27">
        <f>ROUND(AVERAGEIFS([1]Datos_Ventas!$H$2:$H$552,[1]Datos_Ventas!$A$2:$A$552,AN11,[1]Datos_Ventas!$D$2:$D$552,"Ingreso"),2)</f>
        <v>34.21</v>
      </c>
    </row>
    <row r="12" spans="1:41" x14ac:dyDescent="0.25">
      <c r="G12" s="31"/>
      <c r="M12" s="31"/>
      <c r="S12" s="31"/>
      <c r="V12" s="26" t="s">
        <v>19</v>
      </c>
      <c r="W12" s="27">
        <f>SUMIFS([1]Datos_Ventas!$H$2:$H$552,[1]Datos_Ventas!$G$2:$G$552,V12)</f>
        <v>709</v>
      </c>
      <c r="X12" s="30">
        <f>COUNTIF([1]Datos_Ventas!$G$2:$G$552,V12)</f>
        <v>18</v>
      </c>
      <c r="AE12" s="31"/>
      <c r="AL12" s="31"/>
    </row>
    <row r="13" spans="1:41" x14ac:dyDescent="0.25">
      <c r="G13" s="31"/>
      <c r="M13" s="31"/>
      <c r="S13" s="31"/>
      <c r="V13" s="26" t="s">
        <v>88</v>
      </c>
      <c r="W13" s="27">
        <f>SUMIFS([1]Datos_Ventas!$H$2:$H$552,[1]Datos_Ventas!$G$2:$G$552,V13)</f>
        <v>252</v>
      </c>
      <c r="X13" s="30">
        <f>COUNTIF([1]Datos_Ventas!$G$2:$G$552,V13)</f>
        <v>11</v>
      </c>
      <c r="AE13" s="31"/>
      <c r="AL13" s="31"/>
    </row>
    <row r="14" spans="1:41" x14ac:dyDescent="0.25">
      <c r="G14" s="31"/>
      <c r="M14" s="31"/>
      <c r="S14" s="31"/>
      <c r="AE14" s="31"/>
      <c r="AL14" s="31"/>
    </row>
    <row r="15" spans="1:41" x14ac:dyDescent="0.25">
      <c r="G15" s="31"/>
      <c r="M15" s="31"/>
      <c r="S15" s="31"/>
      <c r="AE15" s="31"/>
      <c r="AL15" s="31"/>
    </row>
    <row r="16" spans="1:41" x14ac:dyDescent="0.25">
      <c r="G16" s="31"/>
      <c r="M16" s="31"/>
      <c r="S16" s="31"/>
      <c r="AE16" s="31"/>
      <c r="AL16" s="31"/>
    </row>
    <row r="17" spans="7:38" x14ac:dyDescent="0.25">
      <c r="G17" s="31"/>
      <c r="M17" s="31"/>
      <c r="S17" s="31"/>
      <c r="AE17" s="31"/>
      <c r="AL17" s="31"/>
    </row>
    <row r="18" spans="7:38" x14ac:dyDescent="0.25">
      <c r="G18" s="31"/>
      <c r="M18" s="31"/>
      <c r="S18" s="31"/>
      <c r="AE18" s="31"/>
      <c r="AL18" s="31"/>
    </row>
    <row r="19" spans="7:38" x14ac:dyDescent="0.25">
      <c r="G19" s="31"/>
      <c r="M19" s="31"/>
      <c r="S19" s="31"/>
      <c r="AE19" s="31"/>
      <c r="AL19" s="31"/>
    </row>
    <row r="20" spans="7:38" x14ac:dyDescent="0.25">
      <c r="G20" s="31"/>
      <c r="M20" s="31"/>
      <c r="S20" s="31"/>
      <c r="AE20" s="31"/>
      <c r="AL20" s="31"/>
    </row>
    <row r="21" spans="7:38" x14ac:dyDescent="0.25">
      <c r="G21" s="31"/>
      <c r="M21" s="31"/>
      <c r="S21" s="31"/>
      <c r="AE21" s="31"/>
      <c r="AL21" s="31"/>
    </row>
    <row r="22" spans="7:38" x14ac:dyDescent="0.25">
      <c r="G22" s="31"/>
      <c r="M22" s="31"/>
      <c r="S22" s="31"/>
      <c r="AE22" s="31"/>
      <c r="AL22" s="31"/>
    </row>
    <row r="23" spans="7:38" x14ac:dyDescent="0.25">
      <c r="G23" s="31"/>
      <c r="M23" s="31"/>
      <c r="S23" s="31"/>
      <c r="AE23" s="31"/>
      <c r="AL23" s="31"/>
    </row>
    <row r="24" spans="7:38" x14ac:dyDescent="0.25">
      <c r="G24" s="31"/>
      <c r="M24" s="31"/>
      <c r="S24" s="31"/>
      <c r="AE24" s="31"/>
      <c r="AL24" s="31"/>
    </row>
    <row r="25" spans="7:38" x14ac:dyDescent="0.25">
      <c r="G25" s="31"/>
      <c r="M25" s="31"/>
      <c r="S25" s="31"/>
      <c r="AE25" s="31"/>
      <c r="AL25" s="31"/>
    </row>
    <row r="26" spans="7:38" x14ac:dyDescent="0.25">
      <c r="G26" s="31"/>
      <c r="M26" s="31"/>
      <c r="S26" s="31"/>
      <c r="AE26" s="31"/>
      <c r="AL26" s="31"/>
    </row>
    <row r="27" spans="7:38" x14ac:dyDescent="0.25">
      <c r="G27" s="31"/>
      <c r="M27" s="31"/>
      <c r="S27" s="31"/>
      <c r="AE27" s="31"/>
      <c r="AL27" s="31"/>
    </row>
    <row r="28" spans="7:38" x14ac:dyDescent="0.25">
      <c r="G28" s="31"/>
      <c r="M28" s="31"/>
      <c r="S28" s="31"/>
      <c r="AE28" s="31"/>
      <c r="AL28" s="31"/>
    </row>
    <row r="29" spans="7:38" x14ac:dyDescent="0.25">
      <c r="G29" s="31"/>
      <c r="M29" s="31"/>
      <c r="S29" s="31"/>
      <c r="AE29" s="31"/>
      <c r="AL29" s="31"/>
    </row>
    <row r="30" spans="7:38" x14ac:dyDescent="0.25">
      <c r="G30" s="31"/>
      <c r="K30" s="32"/>
      <c r="M30" s="31"/>
      <c r="S30" s="31"/>
      <c r="AE30" s="31"/>
      <c r="AL30" s="31"/>
    </row>
    <row r="31" spans="7:38" x14ac:dyDescent="0.25">
      <c r="G31" s="31"/>
      <c r="K31" s="32"/>
      <c r="M31" s="31"/>
      <c r="S31" s="31"/>
      <c r="AE31" s="31"/>
      <c r="AL31" s="31"/>
    </row>
    <row r="32" spans="7:38" x14ac:dyDescent="0.25">
      <c r="G32" s="31"/>
      <c r="K32" s="32"/>
      <c r="M32" s="31"/>
      <c r="S32" s="31"/>
      <c r="AE32" s="31"/>
      <c r="AL32" s="31"/>
    </row>
    <row r="33" spans="11:11" x14ac:dyDescent="0.25">
      <c r="K33" s="32"/>
    </row>
    <row r="34" spans="11:11" x14ac:dyDescent="0.25">
      <c r="K34" s="32"/>
    </row>
    <row r="35" spans="11:11" x14ac:dyDescent="0.25">
      <c r="K35" s="32"/>
    </row>
    <row r="36" spans="11:11" x14ac:dyDescent="0.25">
      <c r="K36" s="32"/>
    </row>
    <row r="37" spans="11:11" x14ac:dyDescent="0.25">
      <c r="K37" s="32"/>
    </row>
    <row r="38" spans="11:11" x14ac:dyDescent="0.25">
      <c r="K38" s="32"/>
    </row>
    <row r="39" spans="11:11" x14ac:dyDescent="0.25">
      <c r="K39" s="32"/>
    </row>
    <row r="40" spans="11:11" x14ac:dyDescent="0.25">
      <c r="K40" s="32"/>
    </row>
    <row r="41" spans="11:11" x14ac:dyDescent="0.25">
      <c r="K41" s="32"/>
    </row>
    <row r="42" spans="11:11" x14ac:dyDescent="0.25">
      <c r="K42" s="32"/>
    </row>
    <row r="43" spans="11:11" x14ac:dyDescent="0.25">
      <c r="K43" s="32"/>
    </row>
    <row r="44" spans="11:11" x14ac:dyDescent="0.25">
      <c r="K44" s="32"/>
    </row>
    <row r="45" spans="11:11" x14ac:dyDescent="0.25">
      <c r="K45" s="32"/>
    </row>
    <row r="46" spans="11:11" x14ac:dyDescent="0.25">
      <c r="K46" s="32"/>
    </row>
    <row r="47" spans="11:11" x14ac:dyDescent="0.25">
      <c r="K47" s="32"/>
    </row>
    <row r="48" spans="11:11" x14ac:dyDescent="0.25">
      <c r="K48" s="32"/>
    </row>
    <row r="49" spans="11:11" x14ac:dyDescent="0.25">
      <c r="K49" s="32"/>
    </row>
    <row r="50" spans="11:11" x14ac:dyDescent="0.25">
      <c r="K50" s="32"/>
    </row>
    <row r="51" spans="11:11" x14ac:dyDescent="0.25">
      <c r="K51" s="32"/>
    </row>
    <row r="52" spans="11:11" x14ac:dyDescent="0.25">
      <c r="K52" s="32"/>
    </row>
    <row r="53" spans="11:11" x14ac:dyDescent="0.25">
      <c r="K53" s="32"/>
    </row>
    <row r="54" spans="11:11" x14ac:dyDescent="0.25">
      <c r="K54" s="32"/>
    </row>
    <row r="55" spans="11:11" x14ac:dyDescent="0.25">
      <c r="K55" s="32"/>
    </row>
    <row r="56" spans="11:11" x14ac:dyDescent="0.25">
      <c r="K56" s="32"/>
    </row>
    <row r="57" spans="11:11" x14ac:dyDescent="0.25">
      <c r="K57" s="32"/>
    </row>
    <row r="58" spans="11:11" x14ac:dyDescent="0.25">
      <c r="K58" s="32"/>
    </row>
    <row r="59" spans="11:11" x14ac:dyDescent="0.25">
      <c r="K59" s="32"/>
    </row>
  </sheetData>
  <mergeCells count="1">
    <mergeCell ref="A1:A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</vt:lpstr>
      <vt:lpstr>Gráficos Datos </vt:lpstr>
      <vt:lpstr>Registro de ventas</vt:lpstr>
      <vt:lpstr>Gráficos R. Ventas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2026-06-23T13:05:16Z</dcterms:created>
  <dcterms:modified xsi:type="dcterms:W3CDTF">2026-06-23T15:09:28Z</dcterms:modified>
</cp:coreProperties>
</file>